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el_\Downloads\"/>
    </mc:Choice>
  </mc:AlternateContent>
  <xr:revisionPtr revIDLastSave="0" documentId="13_ncr:1_{881A34C2-E1A3-4009-A5C0-51417E49DF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osts (3)" sheetId="3" r:id="rId1"/>
  </sheets>
  <definedNames>
    <definedName name="_xlnm._FilterDatabase" localSheetId="0" hidden="1">'Test Costs (3)'!$A$1:$H$314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4" i="3" l="1"/>
  <c r="H242" i="3"/>
  <c r="H243" i="3"/>
  <c r="H241" i="3"/>
  <c r="H214" i="3"/>
  <c r="H215" i="3"/>
  <c r="G11" i="3"/>
  <c r="H218" i="3"/>
  <c r="H274" i="3"/>
  <c r="H177" i="3"/>
  <c r="H288" i="3"/>
  <c r="H221" i="3"/>
  <c r="H195" i="3"/>
  <c r="H187" i="3"/>
  <c r="G22" i="3"/>
  <c r="H230" i="3"/>
  <c r="H260" i="3"/>
  <c r="H211" i="3"/>
  <c r="G40" i="3"/>
  <c r="H165" i="3"/>
  <c r="H164" i="3"/>
  <c r="G119" i="3"/>
  <c r="H295" i="3"/>
  <c r="G89" i="3"/>
  <c r="H194" i="3"/>
  <c r="H266" i="3"/>
  <c r="H225" i="3"/>
  <c r="G97" i="3"/>
  <c r="G53" i="3"/>
  <c r="G6" i="3"/>
  <c r="G5" i="3"/>
  <c r="G4" i="3"/>
  <c r="G2" i="3"/>
  <c r="H160" i="3"/>
  <c r="G13" i="3"/>
  <c r="G156" i="3"/>
  <c r="G31" i="3"/>
  <c r="G21" i="3"/>
  <c r="G18" i="3"/>
  <c r="G10" i="3"/>
  <c r="G155" i="3"/>
  <c r="G141" i="3"/>
  <c r="G140" i="3"/>
  <c r="G128" i="3"/>
  <c r="G145" i="3"/>
  <c r="G143" i="3"/>
  <c r="G142" i="3"/>
  <c r="G47" i="3"/>
  <c r="G92" i="3"/>
  <c r="G91" i="3"/>
  <c r="G83" i="3"/>
  <c r="G90" i="3"/>
  <c r="G35" i="3"/>
  <c r="G34" i="3"/>
  <c r="G105" i="3"/>
  <c r="G137" i="3"/>
  <c r="G154" i="3"/>
  <c r="G86" i="3"/>
  <c r="G85" i="3"/>
  <c r="G107" i="3"/>
  <c r="G146" i="3"/>
  <c r="G38" i="3"/>
  <c r="G20" i="3"/>
  <c r="G58" i="3"/>
  <c r="G57" i="3"/>
  <c r="G76" i="3"/>
  <c r="G117" i="3"/>
  <c r="G157" i="3"/>
  <c r="G69" i="3"/>
  <c r="G68" i="3"/>
  <c r="G66" i="3"/>
  <c r="G64" i="3"/>
  <c r="G63" i="3"/>
  <c r="G62" i="3"/>
  <c r="G32" i="3"/>
  <c r="G46" i="3"/>
  <c r="G59" i="3"/>
  <c r="G8" i="3"/>
  <c r="G7" i="3"/>
  <c r="G133" i="3"/>
  <c r="G159" i="3"/>
  <c r="G135" i="3"/>
  <c r="G152" i="3"/>
  <c r="G151" i="3"/>
  <c r="G148" i="3"/>
  <c r="G124" i="3"/>
  <c r="G121" i="3"/>
  <c r="G118" i="3"/>
  <c r="G115" i="3"/>
  <c r="G96" i="3"/>
  <c r="G93" i="3"/>
  <c r="G65" i="3"/>
  <c r="G52" i="3"/>
  <c r="G82" i="3"/>
  <c r="G81" i="3"/>
  <c r="G79" i="3"/>
  <c r="G77" i="3"/>
  <c r="G75" i="3"/>
  <c r="G74" i="3"/>
  <c r="G73" i="3"/>
  <c r="G70" i="3"/>
  <c r="G84" i="3"/>
  <c r="G138" i="3"/>
  <c r="G56" i="3"/>
  <c r="G49" i="3"/>
  <c r="G45" i="3"/>
  <c r="H44" i="3"/>
  <c r="G44" i="3"/>
  <c r="H43" i="3"/>
  <c r="G43" i="3"/>
  <c r="H42" i="3"/>
  <c r="G42" i="3"/>
  <c r="H41" i="3"/>
  <c r="G41" i="3"/>
  <c r="G28" i="3"/>
  <c r="G67" i="3"/>
  <c r="G17" i="3"/>
  <c r="G122" i="3"/>
  <c r="G144" i="3"/>
  <c r="G60" i="3"/>
  <c r="G36" i="3"/>
  <c r="G147" i="3"/>
  <c r="G109" i="3"/>
  <c r="G61" i="3"/>
  <c r="G15" i="3"/>
  <c r="G9" i="3"/>
  <c r="G30" i="3"/>
  <c r="G102" i="3"/>
  <c r="G37" i="3"/>
  <c r="G114" i="3"/>
  <c r="G158" i="3"/>
  <c r="G110" i="3"/>
  <c r="G23" i="3"/>
  <c r="G24" i="3"/>
  <c r="G3" i="3"/>
  <c r="G116" i="3"/>
  <c r="G12" i="3"/>
  <c r="G150" i="3"/>
  <c r="G126" i="3"/>
  <c r="G125" i="3"/>
  <c r="G111" i="3"/>
  <c r="G106" i="3"/>
  <c r="G104" i="3"/>
  <c r="G95" i="3"/>
  <c r="G33" i="3"/>
  <c r="G14" i="3"/>
  <c r="G27" i="3"/>
  <c r="G19" i="3"/>
  <c r="G129" i="3"/>
  <c r="G103" i="3"/>
  <c r="G131" i="3"/>
  <c r="G72" i="3"/>
  <c r="G55" i="3"/>
  <c r="G136" i="3"/>
  <c r="G153" i="3"/>
  <c r="G113" i="3"/>
  <c r="G130" i="3"/>
  <c r="H182" i="3"/>
  <c r="G139" i="3"/>
  <c r="G134" i="3"/>
  <c r="G50" i="3"/>
  <c r="G108" i="3"/>
  <c r="G120" i="3"/>
  <c r="G78" i="3"/>
  <c r="H209" i="3"/>
  <c r="G29" i="3"/>
  <c r="H277" i="3"/>
  <c r="H300" i="3"/>
  <c r="H299" i="3"/>
  <c r="G101" i="3"/>
  <c r="G26" i="3"/>
  <c r="H217" i="3"/>
  <c r="H166" i="3"/>
  <c r="G99" i="3"/>
  <c r="G98" i="3"/>
  <c r="G94" i="3"/>
  <c r="G48" i="3"/>
  <c r="G16" i="3"/>
  <c r="G112" i="3"/>
  <c r="G88" i="3"/>
  <c r="G80" i="3"/>
  <c r="H185" i="3"/>
  <c r="G149" i="3"/>
  <c r="H286" i="3"/>
  <c r="H184" i="3"/>
  <c r="G87" i="3"/>
  <c r="H224" i="3"/>
  <c r="G51" i="3"/>
  <c r="G25" i="3"/>
  <c r="G54" i="3"/>
  <c r="G71" i="3"/>
  <c r="G127" i="3"/>
  <c r="H294" i="3"/>
  <c r="H261" i="3"/>
  <c r="H305" i="3"/>
  <c r="H186" i="3"/>
  <c r="H208" i="3"/>
  <c r="H201" i="3"/>
  <c r="G39" i="3"/>
  <c r="G132" i="3"/>
  <c r="G123" i="3"/>
  <c r="H258" i="3"/>
  <c r="H200" i="3"/>
  <c r="H289" i="3"/>
  <c r="H268" i="3"/>
  <c r="H179" i="3"/>
  <c r="H210" i="3"/>
  <c r="G100" i="3"/>
  <c r="H202" i="3"/>
  <c r="H220" i="3"/>
  <c r="H264" i="3"/>
  <c r="H304" i="3"/>
  <c r="H178" i="3"/>
  <c r="H216" i="3"/>
  <c r="H175" i="3"/>
  <c r="H256" i="3"/>
  <c r="H303" i="3"/>
  <c r="H284" i="3"/>
  <c r="H254" i="3"/>
  <c r="H282" i="3"/>
  <c r="H269" i="3"/>
  <c r="H226" i="3"/>
  <c r="H298" i="3"/>
  <c r="H297" i="3"/>
  <c r="H302" i="3"/>
  <c r="H253" i="3"/>
  <c r="H228" i="3"/>
  <c r="H313" i="3"/>
  <c r="H275" i="3"/>
  <c r="H227" i="3"/>
  <c r="H196" i="3"/>
  <c r="H280" i="3"/>
  <c r="H265" i="3"/>
  <c r="H163" i="3"/>
  <c r="H301" i="3"/>
  <c r="H290" i="3"/>
  <c r="H197" i="3"/>
  <c r="H252" i="3"/>
  <c r="H276" i="3"/>
  <c r="H283" i="3"/>
  <c r="H296" i="3"/>
  <c r="H229" i="3"/>
  <c r="H278" i="3"/>
  <c r="H271" i="3"/>
  <c r="H281" i="3"/>
</calcChain>
</file>

<file path=xl/sharedStrings.xml><?xml version="1.0" encoding="utf-8"?>
<sst xmlns="http://schemas.openxmlformats.org/spreadsheetml/2006/main" count="1250" uniqueCount="645">
  <si>
    <t>S.No</t>
  </si>
  <si>
    <t>Test Name</t>
  </si>
  <si>
    <t>Test Code</t>
  </si>
  <si>
    <t>VITAMIN B12 (COBALAMIN).</t>
  </si>
  <si>
    <t>Immunology</t>
  </si>
  <si>
    <t>TEST1</t>
  </si>
  <si>
    <t>VITAMIN D (25 - OH VITAMIN D).</t>
  </si>
  <si>
    <t>TEST2</t>
  </si>
  <si>
    <t>BLEEDING TIME (BT).</t>
  </si>
  <si>
    <t>Laboratory</t>
  </si>
  <si>
    <t>TEST9</t>
  </si>
  <si>
    <t>CLOTTING TIME (CT).</t>
  </si>
  <si>
    <t>TEST10</t>
  </si>
  <si>
    <t>ADENOSINE DEAMINASE (ADA)</t>
  </si>
  <si>
    <t>TEST11</t>
  </si>
  <si>
    <t>GLUCOSE FASTING.</t>
  </si>
  <si>
    <t>Bio chemistry</t>
  </si>
  <si>
    <t>TEST14</t>
  </si>
  <si>
    <t>GLUCOSE, POST PRANDIAL (PP), 2 HOURS.</t>
  </si>
  <si>
    <t>TEST15</t>
  </si>
  <si>
    <t>GLUCOSE CHALLENGE TEST GCT 75gm.</t>
  </si>
  <si>
    <t>General</t>
  </si>
  <si>
    <t>TEST16</t>
  </si>
  <si>
    <t>Haematology</t>
  </si>
  <si>
    <t>TEST19</t>
  </si>
  <si>
    <t>PTH (PARATHYROID HORMONE)INTACT, SERUM, PTH-INTACT</t>
  </si>
  <si>
    <t>Pathology</t>
  </si>
  <si>
    <t>TEST20</t>
  </si>
  <si>
    <t>PROSTATE-SPECIFIC ANTIGEN (PSA).</t>
  </si>
  <si>
    <t>TEST21</t>
  </si>
  <si>
    <t>TEST22</t>
  </si>
  <si>
    <t>TEST33</t>
  </si>
  <si>
    <t>TEST34</t>
  </si>
  <si>
    <t>TEST35</t>
  </si>
  <si>
    <t>HBA1C, GLYCATED HEMOGLOBIN.</t>
  </si>
  <si>
    <t>TEST78</t>
  </si>
  <si>
    <t>BLOOD GROUP.</t>
  </si>
  <si>
    <t>TEST79</t>
  </si>
  <si>
    <t>CARCINO EMBRYONIC ANTIGEN (CEA)</t>
  </si>
  <si>
    <t>Elisa</t>
  </si>
  <si>
    <t>TEST86</t>
  </si>
  <si>
    <t>HIV Rapid.</t>
  </si>
  <si>
    <t>Serology</t>
  </si>
  <si>
    <t>TEST98</t>
  </si>
  <si>
    <t>HCV RAPID.</t>
  </si>
  <si>
    <t>TEST100</t>
  </si>
  <si>
    <t>GLUCOSE, RANDOM.</t>
  </si>
  <si>
    <t>TEST101</t>
  </si>
  <si>
    <t>ANTI- DS DNA</t>
  </si>
  <si>
    <t>TEST103</t>
  </si>
  <si>
    <t>UPT URINARY PREGNACY TEST.</t>
  </si>
  <si>
    <t>Clinical pathology</t>
  </si>
  <si>
    <t>TEST104</t>
  </si>
  <si>
    <t>BETA HCG.</t>
  </si>
  <si>
    <t>TEST105</t>
  </si>
  <si>
    <t>TORCH 8 IGG &amp; IGM</t>
  </si>
  <si>
    <t>TEST110</t>
  </si>
  <si>
    <t>ESTRADIOL E2 (ESTROGEN)</t>
  </si>
  <si>
    <t>TEST111</t>
  </si>
  <si>
    <t>APTT (ACTIVATED PARTIAL  THROMBOPLASTIN TIME).</t>
  </si>
  <si>
    <t>TEST112</t>
  </si>
  <si>
    <t>TEST118</t>
  </si>
  <si>
    <t>TEST119</t>
  </si>
  <si>
    <t>LUTEINIZING HORMONE (LH).</t>
  </si>
  <si>
    <t>TEST121</t>
  </si>
  <si>
    <t>FOLLICLE STIMULATING HORMONE (FSH).</t>
  </si>
  <si>
    <t>TEST122</t>
  </si>
  <si>
    <t>PROLACTIN.</t>
  </si>
  <si>
    <t>TEST123</t>
  </si>
  <si>
    <t>Erythrocyte Sedimentation Rate(ESR).</t>
  </si>
  <si>
    <t>TEST124</t>
  </si>
  <si>
    <t>IMMUNOGLOBULIN E (IGE) TOTAL</t>
  </si>
  <si>
    <t>TEST125</t>
  </si>
  <si>
    <t>FNAC.</t>
  </si>
  <si>
    <t>Cytology</t>
  </si>
  <si>
    <t>TEST126</t>
  </si>
  <si>
    <t>PROTHROMBIN  TIME (PT/INR).</t>
  </si>
  <si>
    <t>TEST127</t>
  </si>
  <si>
    <t>CMV (CYTOMEGALOVIRUS)</t>
  </si>
  <si>
    <t>TEST128</t>
  </si>
  <si>
    <t>ASO/ASLO (Anti  Streptolysin) Latex.</t>
  </si>
  <si>
    <t>TEST129</t>
  </si>
  <si>
    <t>ANTI THROMBIN III</t>
  </si>
  <si>
    <t>TEST130</t>
  </si>
  <si>
    <t>COOMBS TEST (DIRECT).</t>
  </si>
  <si>
    <t>TEST131</t>
  </si>
  <si>
    <t>COOMBS TEST (INDIRECT).</t>
  </si>
  <si>
    <t>TEST132</t>
  </si>
  <si>
    <t>C-Reactive Protein (Qualitative).</t>
  </si>
  <si>
    <t>TEST133</t>
  </si>
  <si>
    <t>HELICOBACTER PYLORI IGM</t>
  </si>
  <si>
    <t>TEST134</t>
  </si>
  <si>
    <t>BLOOD CULTURE</t>
  </si>
  <si>
    <t>Microbiology</t>
  </si>
  <si>
    <t>TEST135</t>
  </si>
  <si>
    <t>Dengue IGG Elisa</t>
  </si>
  <si>
    <t>TEST136</t>
  </si>
  <si>
    <t>Dengue IGM Elisa</t>
  </si>
  <si>
    <t>TEST137</t>
  </si>
  <si>
    <t>DENGUE NS1 ANTIGEN ELISA</t>
  </si>
  <si>
    <t>TEST138</t>
  </si>
  <si>
    <t>DENGUE PROFILE (IGG &amp; IGM ANTIBODY &amp; NS1 ANTIGEN) BY ELISA</t>
  </si>
  <si>
    <t>TEST139</t>
  </si>
  <si>
    <t>DENGUE VIRUS IGG AND IGM [ELISA] IN SERUM</t>
  </si>
  <si>
    <t>TEST140</t>
  </si>
  <si>
    <t>HAV IGG (ELISA)</t>
  </si>
  <si>
    <t>TEST141</t>
  </si>
  <si>
    <t>HAV IGM (ELISA)</t>
  </si>
  <si>
    <t>TEST142</t>
  </si>
  <si>
    <t>HAV TOTAL</t>
  </si>
  <si>
    <t>TEST143</t>
  </si>
  <si>
    <t>HBS AG SCREENING(RAPID).</t>
  </si>
  <si>
    <t>TEST144</t>
  </si>
  <si>
    <t>HBSAG/ AUSTRALIA ANTIGEN  ELFA.</t>
  </si>
  <si>
    <t>TEST145</t>
  </si>
  <si>
    <t>ALLERGY, ASPERGILLUS FUMIGATUS</t>
  </si>
  <si>
    <t>TEST146</t>
  </si>
  <si>
    <t>HEPATITIS B SURFACE ANTIBODY (ANTI HBS).</t>
  </si>
  <si>
    <t>TEST147</t>
  </si>
  <si>
    <t>HEV IGG Antibodies ( Elisa)</t>
  </si>
  <si>
    <t>TEST148</t>
  </si>
  <si>
    <t>HEV IGM (Rapid Card).</t>
  </si>
  <si>
    <t>TEST149</t>
  </si>
  <si>
    <t>HIV I &amp; II Duo (ELFA).</t>
  </si>
  <si>
    <t>TEST150</t>
  </si>
  <si>
    <t>SEMEN ANALYSIS (SEMINOGRAM).</t>
  </si>
  <si>
    <t>TEST152</t>
  </si>
  <si>
    <t>SMEAR FOR AFB.</t>
  </si>
  <si>
    <t>TEST153</t>
  </si>
  <si>
    <t>PH &amp; REDUCING SUBSTANCES.</t>
  </si>
  <si>
    <t>TEST154</t>
  </si>
  <si>
    <t>STOOL OCCULT BLOOD.</t>
  </si>
  <si>
    <t>TEST155</t>
  </si>
  <si>
    <t>STOOL ROUTINE EXAMINATION.</t>
  </si>
  <si>
    <t>TEST156</t>
  </si>
  <si>
    <t>TPHA-Treponema Pallidium Hemagglutination Assay</t>
  </si>
  <si>
    <t>TEST157</t>
  </si>
  <si>
    <t>Troponin I- Qualitative.</t>
  </si>
  <si>
    <t>TEST158</t>
  </si>
  <si>
    <t>Troponin T Qualitative Serum - Plasma.</t>
  </si>
  <si>
    <t>TEST159</t>
  </si>
  <si>
    <t>Troponin T Quantitative</t>
  </si>
  <si>
    <t>TEST160</t>
  </si>
  <si>
    <t>Typhi DOT-IGG And IGM.</t>
  </si>
  <si>
    <t>TEST161</t>
  </si>
  <si>
    <t>TyphiDOT - IGM.</t>
  </si>
  <si>
    <t>TEST162</t>
  </si>
  <si>
    <t>URINE CULTURE AND SENSTIVITY</t>
  </si>
  <si>
    <t>TEST163</t>
  </si>
  <si>
    <t>URINE FOR EOSINOPHIL COUNT.</t>
  </si>
  <si>
    <t>TEST164</t>
  </si>
  <si>
    <t>URINE FOR MICROALBUMIN ( MAU)</t>
  </si>
  <si>
    <t>TEST165</t>
  </si>
  <si>
    <t>URINE GLUCOSE (POST  PRANDIAL).</t>
  </si>
  <si>
    <t>TEST166</t>
  </si>
  <si>
    <t>VDRL  (RPR)  Quantitative</t>
  </si>
  <si>
    <t>TEST168</t>
  </si>
  <si>
    <t>VDRL (RPR) Qualitative- Serum.</t>
  </si>
  <si>
    <t>TEST169</t>
  </si>
  <si>
    <t>Weil Felix Test.</t>
  </si>
  <si>
    <t>TEST170</t>
  </si>
  <si>
    <t>Widal Test ( Slide Method ).</t>
  </si>
  <si>
    <t>TEST171</t>
  </si>
  <si>
    <t>Widal Test (Tube Method).</t>
  </si>
  <si>
    <t>TEST172</t>
  </si>
  <si>
    <t>TEST195</t>
  </si>
  <si>
    <t>ANTI HCV (ELFA).</t>
  </si>
  <si>
    <t>TEST201</t>
  </si>
  <si>
    <t>ANTI HCV IGM.</t>
  </si>
  <si>
    <t>TEST202</t>
  </si>
  <si>
    <t>ANTI HEV IGM [ELISA]</t>
  </si>
  <si>
    <t>TEST203</t>
  </si>
  <si>
    <t>FNAC (CYTO).</t>
  </si>
  <si>
    <t>TEST205</t>
  </si>
  <si>
    <t>GENE EXPERT</t>
  </si>
  <si>
    <t>Molecular biology</t>
  </si>
  <si>
    <t>TEST207</t>
  </si>
  <si>
    <t>GRAM STAIN.</t>
  </si>
  <si>
    <t>TEST208</t>
  </si>
  <si>
    <t>HBV DNA QUALITATIVE</t>
  </si>
  <si>
    <t>TEST209</t>
  </si>
  <si>
    <t>HBV QUANTITATIVE (VIRAL LOAD) - REAL TIME PCR</t>
  </si>
  <si>
    <t>TEST210</t>
  </si>
  <si>
    <t>HCV QUANTITATIVE (VIRAL LOAD) - REAL TIME PCR.</t>
  </si>
  <si>
    <t>TEST211</t>
  </si>
  <si>
    <t>HCV RNA QUALITATIVE - REAL TIME PCR</t>
  </si>
  <si>
    <t>TEST212</t>
  </si>
  <si>
    <t>HISTOPATHOLOGY EXAMINATION (SMALL SPECIMEN ).</t>
  </si>
  <si>
    <t>histopathology</t>
  </si>
  <si>
    <t>TEST213</t>
  </si>
  <si>
    <t>HIV-1 RNA PCR QUANTATIVE</t>
  </si>
  <si>
    <t>TEST214</t>
  </si>
  <si>
    <t>PAP SMEAR/CERVICAL SMEAR.</t>
  </si>
  <si>
    <t>TEST215</t>
  </si>
  <si>
    <t>SPUTUM FOR EOSINOPHILS.</t>
  </si>
  <si>
    <t>TEST216</t>
  </si>
  <si>
    <t>SPUTUM FOR RBC.</t>
  </si>
  <si>
    <t>TEST217</t>
  </si>
  <si>
    <t>SYNOVIAL FLUID FOR CRYSTALS.</t>
  </si>
  <si>
    <t>TEST218</t>
  </si>
  <si>
    <t>TB GOLD (QUANTIFERON) (GAMMA INTERFERON FOR TB)</t>
  </si>
  <si>
    <t>TEST219</t>
  </si>
  <si>
    <t>ANTI TPO ANTIBODY (TPO)</t>
  </si>
  <si>
    <t>TEST235</t>
  </si>
  <si>
    <t>HOMOCYSTEINE, QUANTITATIVE, SERUM</t>
  </si>
  <si>
    <t>TEST236</t>
  </si>
  <si>
    <t>MATERNAL SCREEN DOUBLE</t>
  </si>
  <si>
    <t>TEST237</t>
  </si>
  <si>
    <t>MATERNAL SCREENING QUADRUPLE MARKER</t>
  </si>
  <si>
    <t>TEST238</t>
  </si>
  <si>
    <t>HCV GENOTYPING</t>
  </si>
  <si>
    <t>TEST239</t>
  </si>
  <si>
    <t>STOOL CULTURE</t>
  </si>
  <si>
    <t>TEST240</t>
  </si>
  <si>
    <t>CORTISOL  (EVENING SAMPLE 4 PM)</t>
  </si>
  <si>
    <t>TEST241</t>
  </si>
  <si>
    <t>CORTISOL SERUM (MORNING SAMPLE 8 AM)</t>
  </si>
  <si>
    <t>TEST242</t>
  </si>
  <si>
    <t>ANTI CARDIOLIPIN ANTIBODY IgG</t>
  </si>
  <si>
    <t>TEST243</t>
  </si>
  <si>
    <t>ANTI CARDIOLIPIN ANTIBODY IgM</t>
  </si>
  <si>
    <t>TEST244</t>
  </si>
  <si>
    <t>BETA-2- GLYCOPROTEIN -1  IGA</t>
  </si>
  <si>
    <t>TEST245</t>
  </si>
  <si>
    <t>BETA-2- GLYCOPROTEIN -1 IGM</t>
  </si>
  <si>
    <t>TEST246</t>
  </si>
  <si>
    <t>BETA 2 GLYCOPROTEIN 1 IGG</t>
  </si>
  <si>
    <t>TEST247</t>
  </si>
  <si>
    <t>LUPUS ANTICOAGULANTS</t>
  </si>
  <si>
    <t>TEST248</t>
  </si>
  <si>
    <t>LIPASE SERUM.</t>
  </si>
  <si>
    <t>TEST249</t>
  </si>
  <si>
    <t>PROTEIN CREATININE RATIO-URINE</t>
  </si>
  <si>
    <t>TEST251</t>
  </si>
  <si>
    <t>AMYLASE SERUM.</t>
  </si>
  <si>
    <t>TEST253</t>
  </si>
  <si>
    <t>ANTI MULLERIAN HORMONE-AMH</t>
  </si>
  <si>
    <t>TEST255</t>
  </si>
  <si>
    <t>D DIMER</t>
  </si>
  <si>
    <t>TEST257</t>
  </si>
  <si>
    <t>HELICOBACTER PYLORI IGA</t>
  </si>
  <si>
    <t>TEST258</t>
  </si>
  <si>
    <t>HELICOBACTER PYLORI IGG</t>
  </si>
  <si>
    <t>TEST259</t>
  </si>
  <si>
    <t>C-ANCA (PR3)</t>
  </si>
  <si>
    <t>TEST260</t>
  </si>
  <si>
    <t>P-ANCA (MPO)</t>
  </si>
  <si>
    <t>TEST261</t>
  </si>
  <si>
    <t>COMPLEMENT LEVEL-C3 &amp; C4</t>
  </si>
  <si>
    <t>TEST262</t>
  </si>
  <si>
    <t>Microalbumin /Creatinine Ratio  Urine</t>
  </si>
  <si>
    <t>TEST264</t>
  </si>
  <si>
    <t>FECAL CALPROTECTIN</t>
  </si>
  <si>
    <t>TEST265</t>
  </si>
  <si>
    <t>ENA (PROFILE EXTRACTABLE NUCLEAR ANTIGEN</t>
  </si>
  <si>
    <t>TEST266</t>
  </si>
  <si>
    <t>MULTIPLE MYELOMA PROFILE</t>
  </si>
  <si>
    <t>TEST267</t>
  </si>
  <si>
    <t>PHOSPHORUS, INORGANIC SERUM.</t>
  </si>
  <si>
    <t>TEST268</t>
  </si>
  <si>
    <t>PERIPHERAL SMEAR (PBF).</t>
  </si>
  <si>
    <t>TEST269</t>
  </si>
  <si>
    <t>BILE ACID</t>
  </si>
  <si>
    <t>TEST270</t>
  </si>
  <si>
    <t>TISSUE TRANSGLUTAMINASE ANTIBODY -IGA</t>
  </si>
  <si>
    <t>TEST271</t>
  </si>
  <si>
    <t>INTERLEUKIN-6, IL-6</t>
  </si>
  <si>
    <t>TEST272</t>
  </si>
  <si>
    <t>CA 19-9</t>
  </si>
  <si>
    <t>TEST273</t>
  </si>
  <si>
    <t>FREE PSA SERUM</t>
  </si>
  <si>
    <t>TEST274</t>
  </si>
  <si>
    <t>HB ELECTROPHORESIS (HPLC)</t>
  </si>
  <si>
    <t>TEST275</t>
  </si>
  <si>
    <t>TESTOSTERONE FREE</t>
  </si>
  <si>
    <t>TEST277</t>
  </si>
  <si>
    <t>MALARIAL ANTIGEN (VIVAX &amp; FALCIPARUM).</t>
  </si>
  <si>
    <t>TEST278</t>
  </si>
  <si>
    <t>HBE ANTIGEN ( HBE AG)</t>
  </si>
  <si>
    <t>TEST280</t>
  </si>
  <si>
    <t>PROTEIN C</t>
  </si>
  <si>
    <t>TEST281</t>
  </si>
  <si>
    <t>PROTEIN S</t>
  </si>
  <si>
    <t>TEST282</t>
  </si>
  <si>
    <t>FACTOR V LEIDIAN  MUTATION</t>
  </si>
  <si>
    <t>TEST283</t>
  </si>
  <si>
    <t>ANTI NUCLEAR ANTIBODY (ANA)</t>
  </si>
  <si>
    <t>TEST284</t>
  </si>
  <si>
    <t>ANTI PHOSPHOLIPID ANTIBODY IGG &amp; IGM</t>
  </si>
  <si>
    <t>TEST285</t>
  </si>
  <si>
    <t>C-REACTIVE PROTEIN (CRP) (QUANTITATIVE).</t>
  </si>
  <si>
    <t>TEST286</t>
  </si>
  <si>
    <t>Rheumatoid Factor (RA) Quantitative.</t>
  </si>
  <si>
    <t>TEST288</t>
  </si>
  <si>
    <t>ANGIOTENSIN CONVERTING ENZYME (ACE)</t>
  </si>
  <si>
    <t>TEST289</t>
  </si>
  <si>
    <t>CALCIUM URINE 24 HRS</t>
  </si>
  <si>
    <t>TEST290</t>
  </si>
  <si>
    <t>HAV RAPID CARD.</t>
  </si>
  <si>
    <t>TEST291</t>
  </si>
  <si>
    <t>FOLIC ACID</t>
  </si>
  <si>
    <t>TEST293</t>
  </si>
  <si>
    <t>GLUCOSE TOLERANCE TEST (GTT) 3 SAMPLES.</t>
  </si>
  <si>
    <t>TEST294</t>
  </si>
  <si>
    <t>RETICULOCYTE  COUNT.</t>
  </si>
  <si>
    <t>TEST295</t>
  </si>
  <si>
    <t>HLAB27 FLOW CYTOMETRY</t>
  </si>
  <si>
    <t>TEST296</t>
  </si>
  <si>
    <t>URINE PROTEIN /CREATININE RATIO 24 HR URINE</t>
  </si>
  <si>
    <t>TEST297</t>
  </si>
  <si>
    <t>MANTOUX.</t>
  </si>
  <si>
    <t>TEST299</t>
  </si>
  <si>
    <t>ROMA (RISK OF OVARIAN MALIGNANCY ALGORITHM)</t>
  </si>
  <si>
    <t>TEST300</t>
  </si>
  <si>
    <t>PROTEIN TOTAL 24 HR URINE (UPR)</t>
  </si>
  <si>
    <t>TEST301</t>
  </si>
  <si>
    <t>TACROLIMUS LEVEL</t>
  </si>
  <si>
    <t>TEST302</t>
  </si>
  <si>
    <t>URINE AFB (SMEAR).</t>
  </si>
  <si>
    <t>TEST303</t>
  </si>
  <si>
    <t>TEST314</t>
  </si>
  <si>
    <t>TEST315</t>
  </si>
  <si>
    <t>TEST316</t>
  </si>
  <si>
    <t>FERRITIN.</t>
  </si>
  <si>
    <t>TEST323</t>
  </si>
  <si>
    <t>COMPLETE URINE EXAMINATION.</t>
  </si>
  <si>
    <t>TEST324</t>
  </si>
  <si>
    <t>TEST325</t>
  </si>
  <si>
    <t>SPUTUM CULTURE</t>
  </si>
  <si>
    <t>TEST329</t>
  </si>
  <si>
    <t>DRUGS OF ABUSE: 7 DRUGS URINE SCREEN</t>
  </si>
  <si>
    <t>TEST331</t>
  </si>
  <si>
    <t>PROTEIN ELECTROPHORESIS SERUM</t>
  </si>
  <si>
    <t>TEST332</t>
  </si>
  <si>
    <t>ANTI CCP (CITRULLINATED PEPTIDE)</t>
  </si>
  <si>
    <t>TEST333</t>
  </si>
  <si>
    <t>INSULIN RANDOM</t>
  </si>
  <si>
    <t>TEST334</t>
  </si>
  <si>
    <t>CA -125</t>
  </si>
  <si>
    <t>TEST335</t>
  </si>
  <si>
    <t>HYDATID SEROLOGY</t>
  </si>
  <si>
    <t>TEST336</t>
  </si>
  <si>
    <t>TEST339</t>
  </si>
  <si>
    <t>TEST340</t>
  </si>
  <si>
    <t>TEST341</t>
  </si>
  <si>
    <t>TEST342</t>
  </si>
  <si>
    <t>TEST343</t>
  </si>
  <si>
    <t>TEST344</t>
  </si>
  <si>
    <t>TEST345</t>
  </si>
  <si>
    <t>TEST346</t>
  </si>
  <si>
    <t>TEST347</t>
  </si>
  <si>
    <t>TEST348</t>
  </si>
  <si>
    <t>TEST349</t>
  </si>
  <si>
    <t>PROCALCITONIN</t>
  </si>
  <si>
    <t>TEST351</t>
  </si>
  <si>
    <t>MAGNESIUM</t>
  </si>
  <si>
    <t>TEST353</t>
  </si>
  <si>
    <t>AFP ALPHA FETO PROTEIN</t>
  </si>
  <si>
    <t>TEST355</t>
  </si>
  <si>
    <t>DHEAS - DEHYDROEPIANDROSTERONE SULPHATE</t>
  </si>
  <si>
    <t>TEST356</t>
  </si>
  <si>
    <t>TEST358</t>
  </si>
  <si>
    <t>TEST359</t>
  </si>
  <si>
    <t>TEST360</t>
  </si>
  <si>
    <t>TEST361</t>
  </si>
  <si>
    <t>TEST362</t>
  </si>
  <si>
    <t>TEST365</t>
  </si>
  <si>
    <t>TEST366</t>
  </si>
  <si>
    <t>TEST367</t>
  </si>
  <si>
    <t>TEST368</t>
  </si>
  <si>
    <t>TEST369</t>
  </si>
  <si>
    <t>TEST371</t>
  </si>
  <si>
    <t>TEST378</t>
  </si>
  <si>
    <t>TEST379</t>
  </si>
  <si>
    <t>TEST380</t>
  </si>
  <si>
    <t>TEST381</t>
  </si>
  <si>
    <t>TEST382</t>
  </si>
  <si>
    <t>TEST383</t>
  </si>
  <si>
    <t>TEST384</t>
  </si>
  <si>
    <t>TEST385</t>
  </si>
  <si>
    <t>GAMMA GLUTAMYL TRANSPEPTIDASE (GGT)#.</t>
  </si>
  <si>
    <t>TEST388</t>
  </si>
  <si>
    <t>HELICOBACTER PYLORI STOOL</t>
  </si>
  <si>
    <t>TEST389</t>
  </si>
  <si>
    <t>FRACTIONATED PLASMA FREE METANEPHRINE</t>
  </si>
  <si>
    <t>TEST390</t>
  </si>
  <si>
    <t>CALCIUM.</t>
  </si>
  <si>
    <t>TEST391</t>
  </si>
  <si>
    <t>LDH LACTATE DEHYDROGENASE SERUM.</t>
  </si>
  <si>
    <t>TEST392</t>
  </si>
  <si>
    <t>SS-A/RO ANTIBODY</t>
  </si>
  <si>
    <t>TEST394</t>
  </si>
  <si>
    <t>SS-B/LA ANTIBODY</t>
  </si>
  <si>
    <t>TEST395</t>
  </si>
  <si>
    <t>LDH: LACTATE DEHYDROGENASE - FLUID</t>
  </si>
  <si>
    <t>TEST396</t>
  </si>
  <si>
    <t>GLUCOSE - FLUID</t>
  </si>
  <si>
    <t>TEST397</t>
  </si>
  <si>
    <t>FLUID FOR PROTEINS</t>
  </si>
  <si>
    <t>TEST398</t>
  </si>
  <si>
    <t>FLUID ANALYSIS.</t>
  </si>
  <si>
    <t>TEST399</t>
  </si>
  <si>
    <t>MYCOBACTERIUM TUBERCULOSIS PCR; MYCOSURE; TB PCR</t>
  </si>
  <si>
    <t>TEST400</t>
  </si>
  <si>
    <t>FLUID FOR BIOCHEMISTRY.</t>
  </si>
  <si>
    <t>TEST401</t>
  </si>
  <si>
    <t>RUBELLA (GERMAN MEASLES) ANTIBODIES PANEL, IGG &amp; IGM</t>
  </si>
  <si>
    <t>TEST402</t>
  </si>
  <si>
    <t>FBN 1 GENE MUTATION</t>
  </si>
  <si>
    <t>TEST403</t>
  </si>
  <si>
    <t>PROGESTERONE</t>
  </si>
  <si>
    <t>TEST404</t>
  </si>
  <si>
    <t>BNP- B TYPE NATRIURETIC PEPTIDE</t>
  </si>
  <si>
    <t>TEST405</t>
  </si>
  <si>
    <t>HISTOPATHOLOGY MEDIUM.</t>
  </si>
  <si>
    <t>TEST406</t>
  </si>
  <si>
    <t>KAPPA / LAMBDA LIGHT CHAINS FREE, SERUM</t>
  </si>
  <si>
    <t>TEST407</t>
  </si>
  <si>
    <t>CPK MB</t>
  </si>
  <si>
    <t>TEST408</t>
  </si>
  <si>
    <t>CPK CREATINE KINASE</t>
  </si>
  <si>
    <t>TEST409</t>
  </si>
  <si>
    <t>PHERIHERAL SEMAR FOR MALARIA.</t>
  </si>
  <si>
    <t>TEST410</t>
  </si>
  <si>
    <t>SPUTUM FOR AFB.</t>
  </si>
  <si>
    <t>TEST411</t>
  </si>
  <si>
    <t>Throat Culture Swab, Aerobic</t>
  </si>
  <si>
    <t>TEST412</t>
  </si>
  <si>
    <t>TESTOSTERONE, TOTAL</t>
  </si>
  <si>
    <t>TEST413</t>
  </si>
  <si>
    <t>RUBELLA (GERMAN MEASLES) ANTIBODY, IgG</t>
  </si>
  <si>
    <t>TEST414</t>
  </si>
  <si>
    <t>RUBELLA (GERMAN MEASLES) ANTIBODY, IgM</t>
  </si>
  <si>
    <t>TEST415</t>
  </si>
  <si>
    <t>TTG DGP COMBINED SCREEN PANEL</t>
  </si>
  <si>
    <t>TEST416</t>
  </si>
  <si>
    <t>BETA 2 GLYCOPROTEIN 1, IgG</t>
  </si>
  <si>
    <t>TEST417</t>
  </si>
  <si>
    <t>CHROMOSOME ANALYSIS (KARYOTYPE), BLOOD</t>
  </si>
  <si>
    <t>TEST418</t>
  </si>
  <si>
    <t>SPERM DNA FRAGMENTATION (TUNEL) ASSAY, FLUORESCENT MICROSCOPY</t>
  </si>
  <si>
    <t>TEST419</t>
  </si>
  <si>
    <t>GAD-65 (GLUTAMIC ACID DECARBOXYLASE- 65), IgG</t>
  </si>
  <si>
    <t>TEST420</t>
  </si>
  <si>
    <t>INSULIN ANTIBODIES</t>
  </si>
  <si>
    <t>TEST421</t>
  </si>
  <si>
    <t>C-PEPTIDE FASTING, SERUM</t>
  </si>
  <si>
    <t>TEST422</t>
  </si>
  <si>
    <t>PHOSPHOLIPASE A2 RECEPTOR ANTIBODY</t>
  </si>
  <si>
    <t>TEST423</t>
  </si>
  <si>
    <t>ENA/ANA Qualitative profile</t>
  </si>
  <si>
    <t>TEST424</t>
  </si>
  <si>
    <t>FECAL ELASTASE</t>
  </si>
  <si>
    <t>TEST425</t>
  </si>
  <si>
    <t>Peripheral Smear For Malarial Parasite (MP)</t>
  </si>
  <si>
    <t>TEST426</t>
  </si>
  <si>
    <t>CYTOLOGY (PAP SMEAR) GENITAL FEMALE, LIQUID BASED.</t>
  </si>
  <si>
    <t>TEST427</t>
  </si>
  <si>
    <t>HEPATITIS Be ANTIBODY; Anti-HBe</t>
  </si>
  <si>
    <t>TEST428</t>
  </si>
  <si>
    <t>HEPATITIS B CORE ANTIBODY (Anti-HBc), IgM</t>
  </si>
  <si>
    <t>TEST430</t>
  </si>
  <si>
    <t>MATERNAL BLOOD FOR FETAL DNA (MBFD) / NIPT</t>
  </si>
  <si>
    <t>TEST431</t>
  </si>
  <si>
    <t>CULTURE AEROBIC PUS</t>
  </si>
  <si>
    <t>TEST432</t>
  </si>
  <si>
    <t>TORCH PANEL IgG</t>
  </si>
  <si>
    <t>TEST433</t>
  </si>
  <si>
    <t>CYSTATIN C</t>
  </si>
  <si>
    <t>TEST434</t>
  </si>
  <si>
    <t>CATECHOLAMINES, PLASMA</t>
  </si>
  <si>
    <t>TEST435</t>
  </si>
  <si>
    <t>METANEPHRINES FREE, PLASMA</t>
  </si>
  <si>
    <t>TEST436</t>
  </si>
  <si>
    <t>METANEPHRINES  FRACTIONATED, RANDOM  URINE</t>
  </si>
  <si>
    <t>TEST437</t>
  </si>
  <si>
    <t>METANEPHRINES, 24-HOUR URINE</t>
  </si>
  <si>
    <t>TEST438</t>
  </si>
  <si>
    <t>HERPES SIMPLEX VIRUS (HSV) 1+2 ANTIBODIES PANEL IgG &amp; IgM, SERUM</t>
  </si>
  <si>
    <t>TEST439</t>
  </si>
  <si>
    <t>CHLAMYDIA TRACHOMATIS AND NEISSERIA GONORRHOEAE PCR QUALITATIVE</t>
  </si>
  <si>
    <t>TEST440</t>
  </si>
  <si>
    <t>TPHA; TREPONEMA PALLIDUM HEMAGGLUTINATION,QUALITATIVE, SERUM	Physician	Infections-Syphilis	UNBLOCKED</t>
  </si>
  <si>
    <t>TEST441</t>
  </si>
  <si>
    <t>NT-PRO BNP (N-TERMINAL PRO B TYPE NATRIURETIC PEPTIDE)</t>
  </si>
  <si>
    <t>TEST442</t>
  </si>
  <si>
    <t>Calcium Ionized</t>
  </si>
  <si>
    <t>TEST443</t>
  </si>
  <si>
    <t>LITHIUM</t>
  </si>
  <si>
    <t>TEST444</t>
  </si>
  <si>
    <t>BICARBONATE</t>
  </si>
  <si>
    <t>TEST445</t>
  </si>
  <si>
    <t>HEPATITIS B SURFACE ANTIBODY; ANTI HBs</t>
  </si>
  <si>
    <t>TEST446</t>
  </si>
  <si>
    <t>Comprehensive Immunohistochemistry</t>
  </si>
  <si>
    <t>TEST464</t>
  </si>
  <si>
    <t>PAP SMEAR/CERVICAL SMEAR WITH PROCEDURE CHARGES</t>
  </si>
  <si>
    <t>TEST465</t>
  </si>
  <si>
    <t>LYSOZYME; MURAMIDASE</t>
  </si>
  <si>
    <t>TEST467</t>
  </si>
  <si>
    <t>CHIKUNGUNYA VIRUS ANTIBODY IgM</t>
  </si>
  <si>
    <t>TEST468</t>
  </si>
  <si>
    <t>H3N2 &amp; INFLUENZA B QUALITATIVE PCR</t>
  </si>
  <si>
    <t>TEST469</t>
  </si>
  <si>
    <t>Culture Aerobic Miscellaneous</t>
  </si>
  <si>
    <t>TEST470</t>
  </si>
  <si>
    <t>CALCIUM / CREATININE RATIO, RANDOM URINE</t>
  </si>
  <si>
    <t>TEST471</t>
  </si>
  <si>
    <t>SLE (SYSTEMIC LUPUS ERYTHEMATOSUS) PANEL</t>
  </si>
  <si>
    <t>TEST472</t>
  </si>
  <si>
    <t>MITOCHONDRIAL ANTIBODY (AMA) IFA</t>
  </si>
  <si>
    <t>TEST473</t>
  </si>
  <si>
    <t>Nx GEN WHOLE EXOME SEQUENCING</t>
  </si>
  <si>
    <t>TEST474</t>
  </si>
  <si>
    <t>COPPER, SERUM</t>
  </si>
  <si>
    <t>TEST476</t>
  </si>
  <si>
    <t>ANTI NUCLEAR ANTIBODY / FACTOR (ANA / ANF), IFA (HEP-2) END POINT TITRE</t>
  </si>
  <si>
    <t>TEST477</t>
  </si>
  <si>
    <t>Allergy:Aspergillus Fumigatus</t>
  </si>
  <si>
    <t>TEST481</t>
  </si>
  <si>
    <t>SCRUB TYPHUS ANTIBODIES PANEL IgG &amp; IgM</t>
  </si>
  <si>
    <t>TEST482</t>
  </si>
  <si>
    <t>HEPATITIS B CORE ANTIBODY (Anti-HBc), TOTAL</t>
  </si>
  <si>
    <t>TEST483</t>
  </si>
  <si>
    <t>C-REACTIVE PROTEIN CARDIO (hsCRP)</t>
  </si>
  <si>
    <t>TEST484</t>
  </si>
  <si>
    <t>Brucella Antibody  Panel IgG &amp;IgM</t>
  </si>
  <si>
    <t>TEST485</t>
  </si>
  <si>
    <t>STONE ANALYSIS WITH PICTURE</t>
  </si>
  <si>
    <t>TEST486</t>
  </si>
  <si>
    <t>IMMATURE PLATELET FRACTION - IPF</t>
  </si>
  <si>
    <t>TEST487</t>
  </si>
  <si>
    <t>17-HYDROXYPROGESTERONE (17-OHP)</t>
  </si>
  <si>
    <t>TEST488</t>
  </si>
  <si>
    <t>CHIKUNGUNYA VIRUS PCR QUALITATIVE</t>
  </si>
  <si>
    <t>TEST489</t>
  </si>
  <si>
    <t>CERULOPLASMIN</t>
  </si>
  <si>
    <t>TEST490</t>
  </si>
  <si>
    <t>HAPTOGLOBIN</t>
  </si>
  <si>
    <t>TEST491</t>
  </si>
  <si>
    <t>TRIGLYCERIDES FLUID</t>
  </si>
  <si>
    <t>TEST492</t>
  </si>
  <si>
    <t>G6PD QUANTITATIVE</t>
  </si>
  <si>
    <t>TEST493</t>
  </si>
  <si>
    <t>INSULIN FASTING</t>
  </si>
  <si>
    <t>TEST494</t>
  </si>
  <si>
    <t>GLUCOSE 1Hr</t>
  </si>
  <si>
    <t>TEST495</t>
  </si>
  <si>
    <t>GLUCOSE 2Hr</t>
  </si>
  <si>
    <t>TEST496</t>
  </si>
  <si>
    <t>Cell block</t>
  </si>
  <si>
    <t>TEST497</t>
  </si>
  <si>
    <t>ERYTHROPOIETIN; EPO</t>
  </si>
  <si>
    <t>TEST498</t>
  </si>
  <si>
    <t>Home Collection Charges</t>
  </si>
  <si>
    <t>TEST499</t>
  </si>
  <si>
    <t>HLA-B27 QUALITATIVE PCR</t>
  </si>
  <si>
    <t>TEST500</t>
  </si>
  <si>
    <t>GLOMERULAR BASEMENT MEMBRANE (GBM) ANTIBODY, IgG</t>
  </si>
  <si>
    <t>TEST501</t>
  </si>
  <si>
    <t>STONE ANALYSIS</t>
  </si>
  <si>
    <t>TEST502</t>
  </si>
  <si>
    <t>LACTATE PLASMA</t>
  </si>
  <si>
    <t>TEST503</t>
  </si>
  <si>
    <t>CHROMOGRANIN A: CgA</t>
  </si>
  <si>
    <t>TEST504</t>
  </si>
  <si>
    <t>Slides for Review</t>
  </si>
  <si>
    <t>TEST505</t>
  </si>
  <si>
    <t>ANTI THYROGLOBULIN ANTIBODY</t>
  </si>
  <si>
    <t>TEST506</t>
  </si>
  <si>
    <t>IMMUNOGLOBULIN IgA, SERUM</t>
  </si>
  <si>
    <t>TEST507</t>
  </si>
  <si>
    <t>ALLERGY 107 ALLERGENS, LIA</t>
  </si>
  <si>
    <t>TEST509</t>
  </si>
  <si>
    <t>ANTI STREPTOLYSIN-O (ASO) TITRE</t>
  </si>
  <si>
    <t>TEST510</t>
  </si>
  <si>
    <t>HPV (HUMAN PAPILLOMA VIRUS) DETECTION &amp; GENOTYPING QUALITATIVE</t>
  </si>
  <si>
    <t>TEST511</t>
  </si>
  <si>
    <t>TOXOPLASMA ANTIBODIES PANEL IgG &amp;IgM</t>
  </si>
  <si>
    <t>TEST512</t>
  </si>
  <si>
    <t>A</t>
  </si>
  <si>
    <t>E</t>
  </si>
  <si>
    <t>D</t>
  </si>
  <si>
    <t>B</t>
  </si>
  <si>
    <t>C</t>
  </si>
  <si>
    <t>BASOPHILS</t>
  </si>
  <si>
    <t>LYMPHOCYTES</t>
  </si>
  <si>
    <t>NEUTROPHILS</t>
  </si>
  <si>
    <t>MONOCYTES</t>
  </si>
  <si>
    <t>TOTAL LEUCOCYTE COUNT (TLC)</t>
  </si>
  <si>
    <t>ABSOLUTE BASOPHIL COUNT (ABC)</t>
  </si>
  <si>
    <t>ABSOLUTE EOSINOPHIL COUNT(AEC)</t>
  </si>
  <si>
    <t>ABSOLUTE LYMPHOCYTE COUNT(ALC)</t>
  </si>
  <si>
    <t>ABSOLUTE MONOCYTE COUNT(AMC)</t>
  </si>
  <si>
    <t>ABSOLUTE NEUTROPHIL COUNT (ANC)</t>
  </si>
  <si>
    <t>RBC COUNT</t>
  </si>
  <si>
    <t xml:space="preserve">CHLORIDE </t>
  </si>
  <si>
    <t>POTASSIUM</t>
  </si>
  <si>
    <t>SODIUM</t>
  </si>
  <si>
    <t>FREE T4</t>
  </si>
  <si>
    <t>FREE T3</t>
  </si>
  <si>
    <t>IRON</t>
  </si>
  <si>
    <t>LDL CHOLESTEROL</t>
  </si>
  <si>
    <t>TOTAL CHOLESTEROL</t>
  </si>
  <si>
    <t>TRIGLYCERIDES</t>
  </si>
  <si>
    <t>BLOOD UREA NITROGEN</t>
  </si>
  <si>
    <t>THYROXINE T4, TOTAL.)</t>
  </si>
  <si>
    <t>TRI-IODOTHYRONINE T3 TOTAL.)</t>
  </si>
  <si>
    <t>ULTRASENSITIVE TSH.)</t>
  </si>
  <si>
    <t>THYROGLOBULIN - THYROGLOBULIN)</t>
  </si>
  <si>
    <t>URIC ACID</t>
  </si>
  <si>
    <t>GFR,  ESTIMATED</t>
  </si>
  <si>
    <t>PROTEIN, TOTAL</t>
  </si>
  <si>
    <t>BILIRUBIN, TOTAL</t>
  </si>
  <si>
    <t>BILIRUBIN CONJUGATED (DIRECT)</t>
  </si>
  <si>
    <t>BILIRUBIN (INDIRECT)</t>
  </si>
  <si>
    <t>ASPARTATE AMINOTRANSFERASE (AST/SGOT)</t>
  </si>
  <si>
    <t>ALKALINE PHOSPHATASE (ALP)</t>
  </si>
  <si>
    <t>ALANINE AMINOTRANSFERASE (ALT/SGPT)</t>
  </si>
  <si>
    <t>UREA</t>
  </si>
  <si>
    <t>CREATININE</t>
  </si>
  <si>
    <t>TORCH PANEL IgM - TORCH  IGM</t>
  </si>
  <si>
    <t xml:space="preserve">Thyroid Profile </t>
  </si>
  <si>
    <t>Lipid Profile #</t>
  </si>
  <si>
    <t>Liver Function Screening#</t>
  </si>
  <si>
    <t>KIDNEY FUNCTION TEST - KFT</t>
  </si>
  <si>
    <t xml:space="preserve">KIDNEY FUNCTION TEST WITH ELECTROLYTES </t>
  </si>
  <si>
    <t>Iron Studies (Iron &amp; TIBC)</t>
  </si>
  <si>
    <t>ALBUMIN</t>
  </si>
  <si>
    <t>EOSINOPHILS</t>
  </si>
  <si>
    <t>HEMOGLOBIN</t>
  </si>
  <si>
    <t>PCV</t>
  </si>
  <si>
    <t>PLATELET COUNT</t>
  </si>
  <si>
    <t xml:space="preserve">Free Thyroid Profile </t>
  </si>
  <si>
    <t>Differential  LEUCOCYTE COUNT (TLC)</t>
  </si>
  <si>
    <t xml:space="preserve">Complete Blood Count </t>
  </si>
  <si>
    <t>Outsourced</t>
  </si>
  <si>
    <t>a</t>
  </si>
  <si>
    <t>ELISA</t>
  </si>
  <si>
    <t>ELECTROLYTES#</t>
  </si>
  <si>
    <t>Department</t>
  </si>
  <si>
    <t>Category</t>
  </si>
  <si>
    <t>MRP</t>
  </si>
  <si>
    <t>Discounted MRP</t>
  </si>
  <si>
    <t>L2L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</si>
</sst>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C6DFC-AE11-4A48-927E-CFFFF08C70B3}">
  <dimension ref="A1:H331"/>
  <sheetViews>
    <sheetView tabSelected="1" showOutlineSymbols="0" showWhiteSpace="0" zoomScale="102" zoomScaleNormal="102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2" sqref="I2"/>
    </sheetView>
  </sheetViews>
  <sheetFormatPr defaultRowHeight="13.8" x14ac:dyDescent="0.25"/>
  <cols>
    <col min="1" max="1" width="6.3984375" style="8" bestFit="1" customWidth="1"/>
    <col min="2" max="2" width="53.59765625" style="8" customWidth="1"/>
    <col min="3" max="3" width="15.3984375" style="8" bestFit="1" customWidth="1"/>
    <col min="4" max="4" width="15" style="8" customWidth="1"/>
    <col min="5" max="5" width="9.796875" style="4" bestFit="1" customWidth="1"/>
    <col min="6" max="6" width="10" style="4" customWidth="1"/>
    <col min="7" max="7" width="12" style="4" customWidth="1"/>
    <col min="8" max="8" width="11.796875" style="4" customWidth="1"/>
    <col min="9" max="16384" width="8.796875" style="8"/>
  </cols>
  <sheetData>
    <row r="1" spans="1:8" s="4" customFormat="1" ht="27.6" x14ac:dyDescent="0.25">
      <c r="A1" s="9" t="s">
        <v>0</v>
      </c>
      <c r="B1" s="6" t="s">
        <v>1</v>
      </c>
      <c r="C1" s="5" t="s">
        <v>640</v>
      </c>
      <c r="D1" s="6" t="s">
        <v>2</v>
      </c>
      <c r="E1" s="6" t="s">
        <v>642</v>
      </c>
      <c r="F1" s="6" t="s">
        <v>641</v>
      </c>
      <c r="G1" s="6" t="s">
        <v>643</v>
      </c>
      <c r="H1" s="6" t="s">
        <v>644</v>
      </c>
    </row>
    <row r="2" spans="1:8" x14ac:dyDescent="0.25">
      <c r="A2" s="7">
        <v>1</v>
      </c>
      <c r="B2" s="2" t="s">
        <v>590</v>
      </c>
      <c r="C2" s="2" t="s">
        <v>23</v>
      </c>
      <c r="D2" s="2" t="s">
        <v>343</v>
      </c>
      <c r="E2" s="2">
        <v>150</v>
      </c>
      <c r="F2" s="2" t="s">
        <v>580</v>
      </c>
      <c r="G2" s="2">
        <f t="shared" ref="G2:G33" si="0">E2*0.65</f>
        <v>97.5</v>
      </c>
      <c r="H2" s="2">
        <v>75</v>
      </c>
    </row>
    <row r="3" spans="1:8" x14ac:dyDescent="0.25">
      <c r="A3" s="7">
        <v>2</v>
      </c>
      <c r="B3" s="2" t="s">
        <v>591</v>
      </c>
      <c r="C3" s="2" t="s">
        <v>23</v>
      </c>
      <c r="D3" s="2" t="s">
        <v>344</v>
      </c>
      <c r="E3" s="2">
        <v>150</v>
      </c>
      <c r="F3" s="2" t="s">
        <v>580</v>
      </c>
      <c r="G3" s="2">
        <f t="shared" si="0"/>
        <v>97.5</v>
      </c>
      <c r="H3" s="2">
        <v>75</v>
      </c>
    </row>
    <row r="4" spans="1:8" ht="27" customHeight="1" x14ac:dyDescent="0.25">
      <c r="A4" s="7">
        <v>3</v>
      </c>
      <c r="B4" s="2" t="s">
        <v>592</v>
      </c>
      <c r="C4" s="2" t="s">
        <v>23</v>
      </c>
      <c r="D4" s="2" t="s">
        <v>345</v>
      </c>
      <c r="E4" s="2">
        <v>150</v>
      </c>
      <c r="F4" s="2" t="s">
        <v>580</v>
      </c>
      <c r="G4" s="2">
        <f t="shared" si="0"/>
        <v>97.5</v>
      </c>
      <c r="H4" s="2">
        <v>75</v>
      </c>
    </row>
    <row r="5" spans="1:8" x14ac:dyDescent="0.25">
      <c r="A5" s="7">
        <v>4</v>
      </c>
      <c r="B5" s="2" t="s">
        <v>593</v>
      </c>
      <c r="C5" s="2" t="s">
        <v>23</v>
      </c>
      <c r="D5" s="2" t="s">
        <v>346</v>
      </c>
      <c r="E5" s="2">
        <v>150</v>
      </c>
      <c r="F5" s="2" t="s">
        <v>580</v>
      </c>
      <c r="G5" s="2">
        <f t="shared" si="0"/>
        <v>97.5</v>
      </c>
      <c r="H5" s="2">
        <v>75</v>
      </c>
    </row>
    <row r="6" spans="1:8" x14ac:dyDescent="0.25">
      <c r="A6" s="7">
        <v>5</v>
      </c>
      <c r="B6" s="2" t="s">
        <v>594</v>
      </c>
      <c r="C6" s="2" t="s">
        <v>23</v>
      </c>
      <c r="D6" s="2" t="s">
        <v>347</v>
      </c>
      <c r="E6" s="2">
        <v>150</v>
      </c>
      <c r="F6" s="2" t="s">
        <v>580</v>
      </c>
      <c r="G6" s="2">
        <f t="shared" si="0"/>
        <v>97.5</v>
      </c>
      <c r="H6" s="2">
        <v>75</v>
      </c>
    </row>
    <row r="7" spans="1:8" x14ac:dyDescent="0.25">
      <c r="A7" s="7">
        <v>6</v>
      </c>
      <c r="B7" s="2" t="s">
        <v>618</v>
      </c>
      <c r="C7" s="2" t="s">
        <v>16</v>
      </c>
      <c r="D7" s="2" t="s">
        <v>376</v>
      </c>
      <c r="E7" s="2">
        <v>225</v>
      </c>
      <c r="F7" s="2" t="s">
        <v>580</v>
      </c>
      <c r="G7" s="2">
        <f t="shared" si="0"/>
        <v>146.25</v>
      </c>
      <c r="H7" s="2">
        <v>45</v>
      </c>
    </row>
    <row r="8" spans="1:8" x14ac:dyDescent="0.25">
      <c r="A8" s="7">
        <v>7</v>
      </c>
      <c r="B8" s="2" t="s">
        <v>628</v>
      </c>
      <c r="C8" s="2" t="s">
        <v>16</v>
      </c>
      <c r="D8" s="2" t="s">
        <v>379</v>
      </c>
      <c r="E8" s="2">
        <v>200</v>
      </c>
      <c r="F8" s="2" t="s">
        <v>580</v>
      </c>
      <c r="G8" s="2">
        <f t="shared" si="0"/>
        <v>130</v>
      </c>
      <c r="H8" s="2">
        <v>40</v>
      </c>
    </row>
    <row r="9" spans="1:8" x14ac:dyDescent="0.25">
      <c r="A9" s="7">
        <v>8</v>
      </c>
      <c r="B9" s="2" t="s">
        <v>617</v>
      </c>
      <c r="C9" s="2" t="s">
        <v>16</v>
      </c>
      <c r="D9" s="2" t="s">
        <v>377</v>
      </c>
      <c r="E9" s="2">
        <v>225</v>
      </c>
      <c r="F9" s="2" t="s">
        <v>580</v>
      </c>
      <c r="G9" s="2">
        <f t="shared" si="0"/>
        <v>146.25</v>
      </c>
      <c r="H9" s="2">
        <v>45</v>
      </c>
    </row>
    <row r="10" spans="1:8" x14ac:dyDescent="0.25">
      <c r="A10" s="7">
        <v>9</v>
      </c>
      <c r="B10" s="2" t="s">
        <v>234</v>
      </c>
      <c r="C10" s="2" t="s">
        <v>16</v>
      </c>
      <c r="D10" s="2" t="s">
        <v>235</v>
      </c>
      <c r="E10" s="2">
        <v>525</v>
      </c>
      <c r="F10" s="2" t="s">
        <v>580</v>
      </c>
      <c r="G10" s="2">
        <f t="shared" si="0"/>
        <v>341.25</v>
      </c>
      <c r="H10" s="2">
        <v>150</v>
      </c>
    </row>
    <row r="11" spans="1:8" x14ac:dyDescent="0.25">
      <c r="A11" s="7">
        <v>10</v>
      </c>
      <c r="B11" s="2" t="s">
        <v>166</v>
      </c>
      <c r="C11" s="2" t="s">
        <v>39</v>
      </c>
      <c r="D11" s="2" t="s">
        <v>167</v>
      </c>
      <c r="E11" s="2">
        <v>900</v>
      </c>
      <c r="F11" s="2" t="s">
        <v>580</v>
      </c>
      <c r="G11" s="2">
        <f t="shared" si="0"/>
        <v>585</v>
      </c>
      <c r="H11" s="2">
        <v>500</v>
      </c>
    </row>
    <row r="12" spans="1:8" x14ac:dyDescent="0.25">
      <c r="A12" s="7">
        <v>11</v>
      </c>
      <c r="B12" s="2" t="s">
        <v>574</v>
      </c>
      <c r="C12" s="2" t="s">
        <v>16</v>
      </c>
      <c r="D12" s="2" t="s">
        <v>575</v>
      </c>
      <c r="E12" s="2">
        <v>600</v>
      </c>
      <c r="F12" s="2" t="s">
        <v>580</v>
      </c>
      <c r="G12" s="2">
        <f t="shared" si="0"/>
        <v>390</v>
      </c>
      <c r="H12" s="2">
        <v>250</v>
      </c>
    </row>
    <row r="13" spans="1:8" x14ac:dyDescent="0.25">
      <c r="A13" s="7">
        <v>12</v>
      </c>
      <c r="B13" s="2" t="s">
        <v>59</v>
      </c>
      <c r="C13" s="2" t="s">
        <v>23</v>
      </c>
      <c r="D13" s="2" t="s">
        <v>60</v>
      </c>
      <c r="E13" s="2">
        <v>250</v>
      </c>
      <c r="F13" s="2" t="s">
        <v>580</v>
      </c>
      <c r="G13" s="2">
        <f t="shared" si="0"/>
        <v>162.5</v>
      </c>
      <c r="H13" s="2">
        <v>125</v>
      </c>
    </row>
    <row r="14" spans="1:8" x14ac:dyDescent="0.25">
      <c r="A14" s="7">
        <v>13</v>
      </c>
      <c r="B14" s="2" t="s">
        <v>80</v>
      </c>
      <c r="C14" s="2" t="s">
        <v>42</v>
      </c>
      <c r="D14" s="2" t="s">
        <v>81</v>
      </c>
      <c r="E14" s="2">
        <v>600</v>
      </c>
      <c r="F14" s="2" t="s">
        <v>580</v>
      </c>
      <c r="G14" s="2">
        <f t="shared" si="0"/>
        <v>390</v>
      </c>
      <c r="H14" s="2">
        <v>250</v>
      </c>
    </row>
    <row r="15" spans="1:8" x14ac:dyDescent="0.25">
      <c r="A15" s="7">
        <v>14</v>
      </c>
      <c r="B15" s="2" t="s">
        <v>616</v>
      </c>
      <c r="C15" s="2" t="s">
        <v>16</v>
      </c>
      <c r="D15" s="2" t="s">
        <v>375</v>
      </c>
      <c r="E15" s="2">
        <v>225</v>
      </c>
      <c r="F15" s="2" t="s">
        <v>580</v>
      </c>
      <c r="G15" s="2">
        <f t="shared" si="0"/>
        <v>146.25</v>
      </c>
      <c r="H15" s="2">
        <v>40</v>
      </c>
    </row>
    <row r="16" spans="1:8" x14ac:dyDescent="0.25">
      <c r="A16" s="7">
        <v>15</v>
      </c>
      <c r="B16" s="2" t="s">
        <v>585</v>
      </c>
      <c r="C16" s="2" t="s">
        <v>23</v>
      </c>
      <c r="D16" s="2" t="s">
        <v>348</v>
      </c>
      <c r="E16" s="2">
        <v>150</v>
      </c>
      <c r="F16" s="2" t="s">
        <v>580</v>
      </c>
      <c r="G16" s="2">
        <f t="shared" si="0"/>
        <v>97.5</v>
      </c>
      <c r="H16" s="2">
        <v>75</v>
      </c>
    </row>
    <row r="17" spans="1:8" x14ac:dyDescent="0.25">
      <c r="A17" s="7">
        <v>16</v>
      </c>
      <c r="B17" s="2" t="s">
        <v>53</v>
      </c>
      <c r="C17" s="2" t="s">
        <v>4</v>
      </c>
      <c r="D17" s="2" t="s">
        <v>54</v>
      </c>
      <c r="E17" s="2">
        <v>900</v>
      </c>
      <c r="F17" s="2" t="s">
        <v>580</v>
      </c>
      <c r="G17" s="2">
        <f t="shared" si="0"/>
        <v>585</v>
      </c>
      <c r="H17" s="2">
        <v>200</v>
      </c>
    </row>
    <row r="18" spans="1:8" x14ac:dyDescent="0.25">
      <c r="A18" s="7">
        <v>17</v>
      </c>
      <c r="B18" s="2" t="s">
        <v>615</v>
      </c>
      <c r="C18" s="2" t="s">
        <v>16</v>
      </c>
      <c r="D18" s="2" t="s">
        <v>374</v>
      </c>
      <c r="E18" s="2">
        <v>100</v>
      </c>
      <c r="F18" s="2" t="s">
        <v>580</v>
      </c>
      <c r="G18" s="2">
        <f t="shared" si="0"/>
        <v>65</v>
      </c>
      <c r="H18" s="2">
        <v>50</v>
      </c>
    </row>
    <row r="19" spans="1:8" x14ac:dyDescent="0.25">
      <c r="A19" s="7">
        <v>18</v>
      </c>
      <c r="B19" s="2" t="s">
        <v>614</v>
      </c>
      <c r="C19" s="2" t="s">
        <v>16</v>
      </c>
      <c r="D19" s="2" t="s">
        <v>373</v>
      </c>
      <c r="E19" s="2">
        <v>100</v>
      </c>
      <c r="F19" s="2" t="s">
        <v>580</v>
      </c>
      <c r="G19" s="2">
        <f t="shared" si="0"/>
        <v>65</v>
      </c>
      <c r="H19" s="2">
        <v>50</v>
      </c>
    </row>
    <row r="20" spans="1:8" x14ac:dyDescent="0.25">
      <c r="A20" s="7">
        <v>19</v>
      </c>
      <c r="B20" s="2" t="s">
        <v>613</v>
      </c>
      <c r="C20" s="2" t="s">
        <v>16</v>
      </c>
      <c r="D20" s="2" t="s">
        <v>372</v>
      </c>
      <c r="E20" s="2">
        <v>250</v>
      </c>
      <c r="F20" s="2" t="s">
        <v>580</v>
      </c>
      <c r="G20" s="2">
        <f t="shared" si="0"/>
        <v>162.5</v>
      </c>
      <c r="H20" s="2">
        <v>125</v>
      </c>
    </row>
    <row r="21" spans="1:8" x14ac:dyDescent="0.25">
      <c r="A21" s="7">
        <v>20</v>
      </c>
      <c r="B21" s="2" t="s">
        <v>8</v>
      </c>
      <c r="C21" s="2" t="s">
        <v>21</v>
      </c>
      <c r="D21" s="2" t="s">
        <v>10</v>
      </c>
      <c r="E21" s="2">
        <v>75</v>
      </c>
      <c r="F21" s="2" t="s">
        <v>580</v>
      </c>
      <c r="G21" s="2">
        <f t="shared" si="0"/>
        <v>48.75</v>
      </c>
      <c r="H21" s="2">
        <v>30</v>
      </c>
    </row>
    <row r="22" spans="1:8" x14ac:dyDescent="0.25">
      <c r="A22" s="7">
        <v>21</v>
      </c>
      <c r="B22" s="2" t="s">
        <v>92</v>
      </c>
      <c r="C22" s="2" t="s">
        <v>93</v>
      </c>
      <c r="D22" s="2" t="s">
        <v>94</v>
      </c>
      <c r="E22" s="2">
        <v>1350</v>
      </c>
      <c r="F22" s="2" t="s">
        <v>580</v>
      </c>
      <c r="G22" s="2">
        <f t="shared" si="0"/>
        <v>877.5</v>
      </c>
      <c r="H22" s="2">
        <v>675</v>
      </c>
    </row>
    <row r="23" spans="1:8" x14ac:dyDescent="0.25">
      <c r="A23" s="7">
        <v>22</v>
      </c>
      <c r="B23" s="2" t="s">
        <v>36</v>
      </c>
      <c r="C23" s="2" t="s">
        <v>23</v>
      </c>
      <c r="D23" s="2" t="s">
        <v>37</v>
      </c>
      <c r="E23" s="2">
        <v>150</v>
      </c>
      <c r="F23" s="2" t="s">
        <v>580</v>
      </c>
      <c r="G23" s="2">
        <f t="shared" si="0"/>
        <v>97.5</v>
      </c>
      <c r="H23" s="2">
        <v>70</v>
      </c>
    </row>
    <row r="24" spans="1:8" x14ac:dyDescent="0.25">
      <c r="A24" s="7">
        <v>23</v>
      </c>
      <c r="B24" s="2" t="s">
        <v>605</v>
      </c>
      <c r="C24" s="2" t="s">
        <v>16</v>
      </c>
      <c r="D24" s="2" t="s">
        <v>362</v>
      </c>
      <c r="E24" s="2">
        <v>150</v>
      </c>
      <c r="F24" s="2" t="s">
        <v>580</v>
      </c>
      <c r="G24" s="2">
        <f t="shared" si="0"/>
        <v>97.5</v>
      </c>
      <c r="H24" s="2">
        <v>45</v>
      </c>
    </row>
    <row r="25" spans="1:8" x14ac:dyDescent="0.25">
      <c r="A25" s="7">
        <v>24</v>
      </c>
      <c r="B25" s="2" t="s">
        <v>506</v>
      </c>
      <c r="C25" s="2" t="s">
        <v>16</v>
      </c>
      <c r="D25" s="2" t="s">
        <v>507</v>
      </c>
      <c r="E25" s="2">
        <v>480</v>
      </c>
      <c r="F25" s="2" t="s">
        <v>580</v>
      </c>
      <c r="G25" s="2">
        <f t="shared" si="0"/>
        <v>312</v>
      </c>
      <c r="H25" s="2">
        <v>200</v>
      </c>
    </row>
    <row r="26" spans="1:8" x14ac:dyDescent="0.25">
      <c r="A26" s="7">
        <v>25</v>
      </c>
      <c r="B26" s="2" t="s">
        <v>296</v>
      </c>
      <c r="C26" s="2" t="s">
        <v>16</v>
      </c>
      <c r="D26" s="2" t="s">
        <v>297</v>
      </c>
      <c r="E26" s="2">
        <v>250</v>
      </c>
      <c r="F26" s="2" t="s">
        <v>580</v>
      </c>
      <c r="G26" s="2">
        <f t="shared" si="0"/>
        <v>162.5</v>
      </c>
      <c r="H26" s="2">
        <v>100</v>
      </c>
    </row>
    <row r="27" spans="1:8" x14ac:dyDescent="0.25">
      <c r="A27" s="7">
        <v>26</v>
      </c>
      <c r="B27" s="2" t="s">
        <v>386</v>
      </c>
      <c r="C27" s="2" t="s">
        <v>16</v>
      </c>
      <c r="D27" s="2" t="s">
        <v>387</v>
      </c>
      <c r="E27" s="2">
        <v>190</v>
      </c>
      <c r="F27" s="2" t="s">
        <v>580</v>
      </c>
      <c r="G27" s="2">
        <f t="shared" si="0"/>
        <v>123.5</v>
      </c>
      <c r="H27" s="2">
        <v>50</v>
      </c>
    </row>
    <row r="28" spans="1:8" x14ac:dyDescent="0.25">
      <c r="A28" s="7">
        <v>27</v>
      </c>
      <c r="B28" s="2" t="s">
        <v>550</v>
      </c>
      <c r="C28" s="2" t="s">
        <v>188</v>
      </c>
      <c r="D28" s="2" t="s">
        <v>551</v>
      </c>
      <c r="E28" s="2">
        <v>750</v>
      </c>
      <c r="F28" s="2" t="s">
        <v>580</v>
      </c>
      <c r="G28" s="2">
        <f t="shared" si="0"/>
        <v>487.5</v>
      </c>
      <c r="H28" s="2">
        <v>400</v>
      </c>
    </row>
    <row r="29" spans="1:8" x14ac:dyDescent="0.25">
      <c r="A29" s="7">
        <v>28</v>
      </c>
      <c r="B29" s="2" t="s">
        <v>500</v>
      </c>
      <c r="C29" s="2" t="s">
        <v>42</v>
      </c>
      <c r="D29" s="2" t="s">
        <v>501</v>
      </c>
      <c r="E29" s="2">
        <v>970</v>
      </c>
      <c r="F29" s="2" t="s">
        <v>583</v>
      </c>
      <c r="G29" s="2">
        <f t="shared" si="0"/>
        <v>630.5</v>
      </c>
      <c r="H29" s="2">
        <v>500</v>
      </c>
    </row>
    <row r="30" spans="1:8" x14ac:dyDescent="0.25">
      <c r="A30" s="7">
        <v>29</v>
      </c>
      <c r="B30" s="2" t="s">
        <v>596</v>
      </c>
      <c r="C30" s="2" t="s">
        <v>16</v>
      </c>
      <c r="D30" s="2" t="s">
        <v>368</v>
      </c>
      <c r="E30" s="2">
        <v>150</v>
      </c>
      <c r="F30" s="2" t="s">
        <v>580</v>
      </c>
      <c r="G30" s="2">
        <f t="shared" si="0"/>
        <v>97.5</v>
      </c>
      <c r="H30" s="2">
        <v>70</v>
      </c>
    </row>
    <row r="31" spans="1:8" x14ac:dyDescent="0.25">
      <c r="A31" s="7">
        <v>30</v>
      </c>
      <c r="B31" s="2" t="s">
        <v>11</v>
      </c>
      <c r="C31" s="2" t="s">
        <v>21</v>
      </c>
      <c r="D31" s="2" t="s">
        <v>12</v>
      </c>
      <c r="E31" s="2">
        <v>75</v>
      </c>
      <c r="F31" s="2" t="s">
        <v>580</v>
      </c>
      <c r="G31" s="2">
        <f t="shared" si="0"/>
        <v>48.75</v>
      </c>
      <c r="H31" s="2">
        <v>30</v>
      </c>
    </row>
    <row r="32" spans="1:8" x14ac:dyDescent="0.25">
      <c r="A32" s="7">
        <v>31</v>
      </c>
      <c r="B32" s="1" t="s">
        <v>635</v>
      </c>
      <c r="C32" s="2" t="s">
        <v>23</v>
      </c>
      <c r="D32" s="2"/>
      <c r="E32" s="2">
        <v>450</v>
      </c>
      <c r="F32" s="2" t="s">
        <v>580</v>
      </c>
      <c r="G32" s="2">
        <f t="shared" si="0"/>
        <v>292.5</v>
      </c>
      <c r="H32" s="2">
        <v>85</v>
      </c>
    </row>
    <row r="33" spans="1:8" x14ac:dyDescent="0.25">
      <c r="A33" s="7">
        <v>32</v>
      </c>
      <c r="B33" s="2" t="s">
        <v>325</v>
      </c>
      <c r="C33" s="2" t="s">
        <v>51</v>
      </c>
      <c r="D33" s="2" t="s">
        <v>326</v>
      </c>
      <c r="E33" s="2">
        <v>150</v>
      </c>
      <c r="F33" s="2" t="s">
        <v>580</v>
      </c>
      <c r="G33" s="2">
        <f t="shared" si="0"/>
        <v>97.5</v>
      </c>
      <c r="H33" s="2">
        <v>50</v>
      </c>
    </row>
    <row r="34" spans="1:8" x14ac:dyDescent="0.25">
      <c r="A34" s="7">
        <v>33</v>
      </c>
      <c r="B34" s="2" t="s">
        <v>84</v>
      </c>
      <c r="C34" s="2" t="s">
        <v>23</v>
      </c>
      <c r="D34" s="2" t="s">
        <v>85</v>
      </c>
      <c r="E34" s="2">
        <v>300</v>
      </c>
      <c r="F34" s="2" t="s">
        <v>580</v>
      </c>
      <c r="G34" s="2">
        <f t="shared" ref="G34:G65" si="1">E34*0.65</f>
        <v>195</v>
      </c>
      <c r="H34" s="2">
        <v>120</v>
      </c>
    </row>
    <row r="35" spans="1:8" x14ac:dyDescent="0.25">
      <c r="A35" s="7">
        <v>34</v>
      </c>
      <c r="B35" s="2" t="s">
        <v>86</v>
      </c>
      <c r="C35" s="2" t="s">
        <v>23</v>
      </c>
      <c r="D35" s="2" t="s">
        <v>87</v>
      </c>
      <c r="E35" s="2">
        <v>300</v>
      </c>
      <c r="F35" s="2" t="s">
        <v>580</v>
      </c>
      <c r="G35" s="2">
        <f t="shared" si="1"/>
        <v>195</v>
      </c>
      <c r="H35" s="2">
        <v>120</v>
      </c>
    </row>
    <row r="36" spans="1:8" x14ac:dyDescent="0.25">
      <c r="A36" s="7">
        <v>35</v>
      </c>
      <c r="B36" s="2" t="s">
        <v>290</v>
      </c>
      <c r="C36" s="2" t="s">
        <v>16</v>
      </c>
      <c r="D36" s="2" t="s">
        <v>291</v>
      </c>
      <c r="E36" s="2">
        <v>375</v>
      </c>
      <c r="F36" s="2" t="s">
        <v>580</v>
      </c>
      <c r="G36" s="2">
        <f t="shared" si="1"/>
        <v>243.75</v>
      </c>
      <c r="H36" s="2">
        <v>150</v>
      </c>
    </row>
    <row r="37" spans="1:8" x14ac:dyDescent="0.25">
      <c r="A37" s="7">
        <v>36</v>
      </c>
      <c r="B37" s="2" t="s">
        <v>88</v>
      </c>
      <c r="C37" s="2" t="s">
        <v>42</v>
      </c>
      <c r="D37" s="2" t="s">
        <v>89</v>
      </c>
      <c r="E37" s="2">
        <v>225</v>
      </c>
      <c r="F37" s="2" t="s">
        <v>580</v>
      </c>
      <c r="G37" s="2">
        <f t="shared" si="1"/>
        <v>146.25</v>
      </c>
      <c r="H37" s="2">
        <v>100</v>
      </c>
    </row>
    <row r="38" spans="1:8" x14ac:dyDescent="0.25">
      <c r="A38" s="7">
        <v>37</v>
      </c>
      <c r="B38" s="2" t="s">
        <v>620</v>
      </c>
      <c r="C38" s="2" t="s">
        <v>16</v>
      </c>
      <c r="D38" s="2" t="s">
        <v>363</v>
      </c>
      <c r="E38" s="2">
        <v>150</v>
      </c>
      <c r="F38" s="2" t="s">
        <v>580</v>
      </c>
      <c r="G38" s="2">
        <f t="shared" si="1"/>
        <v>97.5</v>
      </c>
      <c r="H38" s="2">
        <v>30</v>
      </c>
    </row>
    <row r="39" spans="1:8" x14ac:dyDescent="0.25">
      <c r="A39" s="7">
        <v>38</v>
      </c>
      <c r="B39" s="2" t="s">
        <v>504</v>
      </c>
      <c r="C39" s="2" t="s">
        <v>93</v>
      </c>
      <c r="D39" s="2" t="s">
        <v>505</v>
      </c>
      <c r="E39" s="2">
        <v>920</v>
      </c>
      <c r="F39" s="2" t="s">
        <v>580</v>
      </c>
      <c r="G39" s="2">
        <f t="shared" si="1"/>
        <v>598</v>
      </c>
      <c r="H39" s="2">
        <v>460</v>
      </c>
    </row>
    <row r="40" spans="1:8" x14ac:dyDescent="0.25">
      <c r="A40" s="7">
        <v>39</v>
      </c>
      <c r="B40" s="2" t="s">
        <v>464</v>
      </c>
      <c r="C40" s="2" t="s">
        <v>93</v>
      </c>
      <c r="D40" s="2" t="s">
        <v>465</v>
      </c>
      <c r="E40" s="2">
        <v>920</v>
      </c>
      <c r="F40" s="2" t="s">
        <v>580</v>
      </c>
      <c r="G40" s="2">
        <f t="shared" si="1"/>
        <v>598</v>
      </c>
      <c r="H40" s="2">
        <v>460</v>
      </c>
    </row>
    <row r="41" spans="1:8" x14ac:dyDescent="0.25">
      <c r="A41" s="7">
        <v>40</v>
      </c>
      <c r="B41" s="2" t="s">
        <v>95</v>
      </c>
      <c r="C41" s="2" t="s">
        <v>39</v>
      </c>
      <c r="D41" s="2" t="s">
        <v>96</v>
      </c>
      <c r="E41" s="2">
        <v>600</v>
      </c>
      <c r="F41" s="2" t="s">
        <v>584</v>
      </c>
      <c r="G41" s="2">
        <f t="shared" si="1"/>
        <v>390</v>
      </c>
      <c r="H41" s="2">
        <f>E41*0.75</f>
        <v>450</v>
      </c>
    </row>
    <row r="42" spans="1:8" x14ac:dyDescent="0.25">
      <c r="A42" s="7">
        <v>41</v>
      </c>
      <c r="B42" s="2" t="s">
        <v>97</v>
      </c>
      <c r="C42" s="2" t="s">
        <v>39</v>
      </c>
      <c r="D42" s="2" t="s">
        <v>98</v>
      </c>
      <c r="E42" s="2">
        <v>600</v>
      </c>
      <c r="F42" s="2" t="s">
        <v>584</v>
      </c>
      <c r="G42" s="2">
        <f t="shared" si="1"/>
        <v>390</v>
      </c>
      <c r="H42" s="2">
        <f>E42*0.75</f>
        <v>450</v>
      </c>
    </row>
    <row r="43" spans="1:8" x14ac:dyDescent="0.25">
      <c r="A43" s="7">
        <v>42</v>
      </c>
      <c r="B43" s="2" t="s">
        <v>99</v>
      </c>
      <c r="C43" s="2" t="s">
        <v>39</v>
      </c>
      <c r="D43" s="2" t="s">
        <v>100</v>
      </c>
      <c r="E43" s="2">
        <v>600</v>
      </c>
      <c r="F43" s="2" t="s">
        <v>584</v>
      </c>
      <c r="G43" s="2">
        <f t="shared" si="1"/>
        <v>390</v>
      </c>
      <c r="H43" s="2">
        <f>E43*0.75</f>
        <v>450</v>
      </c>
    </row>
    <row r="44" spans="1:8" x14ac:dyDescent="0.25">
      <c r="A44" s="7">
        <v>43</v>
      </c>
      <c r="B44" s="2" t="s">
        <v>101</v>
      </c>
      <c r="C44" s="2" t="s">
        <v>39</v>
      </c>
      <c r="D44" s="2" t="s">
        <v>102</v>
      </c>
      <c r="E44" s="2">
        <v>1800</v>
      </c>
      <c r="F44" s="2" t="s">
        <v>584</v>
      </c>
      <c r="G44" s="2">
        <f t="shared" si="1"/>
        <v>1170</v>
      </c>
      <c r="H44" s="2">
        <f>E44*0.75</f>
        <v>1350</v>
      </c>
    </row>
    <row r="45" spans="1:8" x14ac:dyDescent="0.25">
      <c r="A45" s="7">
        <v>44</v>
      </c>
      <c r="B45" s="2" t="s">
        <v>103</v>
      </c>
      <c r="C45" s="2" t="s">
        <v>638</v>
      </c>
      <c r="D45" s="2" t="s">
        <v>104</v>
      </c>
      <c r="E45" s="2">
        <v>1200</v>
      </c>
      <c r="F45" s="2" t="s">
        <v>584</v>
      </c>
      <c r="G45" s="2">
        <f t="shared" si="1"/>
        <v>780</v>
      </c>
      <c r="H45" s="2">
        <v>900</v>
      </c>
    </row>
    <row r="46" spans="1:8" x14ac:dyDescent="0.25">
      <c r="A46" s="7">
        <v>45</v>
      </c>
      <c r="B46" s="2" t="s">
        <v>634</v>
      </c>
      <c r="C46" s="2" t="s">
        <v>23</v>
      </c>
      <c r="D46" s="2"/>
      <c r="E46" s="2">
        <v>200</v>
      </c>
      <c r="F46" s="2" t="s">
        <v>580</v>
      </c>
      <c r="G46" s="2">
        <f t="shared" si="1"/>
        <v>130</v>
      </c>
      <c r="H46" s="2">
        <v>85</v>
      </c>
    </row>
    <row r="47" spans="1:8" x14ac:dyDescent="0.25">
      <c r="A47" s="7">
        <v>46</v>
      </c>
      <c r="B47" s="1" t="s">
        <v>639</v>
      </c>
      <c r="C47" s="2" t="s">
        <v>16</v>
      </c>
      <c r="D47" s="1"/>
      <c r="E47" s="1">
        <v>450</v>
      </c>
      <c r="F47" s="2" t="s">
        <v>580</v>
      </c>
      <c r="G47" s="2">
        <f t="shared" si="1"/>
        <v>292.5</v>
      </c>
      <c r="H47" s="2">
        <v>100</v>
      </c>
    </row>
    <row r="48" spans="1:8" x14ac:dyDescent="0.25">
      <c r="A48" s="7">
        <v>47</v>
      </c>
      <c r="B48" s="2" t="s">
        <v>629</v>
      </c>
      <c r="C48" s="2" t="s">
        <v>23</v>
      </c>
      <c r="D48" s="2" t="s">
        <v>349</v>
      </c>
      <c r="E48" s="2">
        <v>150</v>
      </c>
      <c r="F48" s="2" t="s">
        <v>580</v>
      </c>
      <c r="G48" s="2">
        <f t="shared" si="1"/>
        <v>97.5</v>
      </c>
      <c r="H48" s="2">
        <v>75</v>
      </c>
    </row>
    <row r="49" spans="1:8" x14ac:dyDescent="0.25">
      <c r="A49" s="7">
        <v>48</v>
      </c>
      <c r="B49" s="2" t="s">
        <v>69</v>
      </c>
      <c r="C49" s="2" t="s">
        <v>23</v>
      </c>
      <c r="D49" s="2" t="s">
        <v>70</v>
      </c>
      <c r="E49" s="2">
        <v>100</v>
      </c>
      <c r="F49" s="2" t="s">
        <v>580</v>
      </c>
      <c r="G49" s="2">
        <f t="shared" si="1"/>
        <v>65</v>
      </c>
      <c r="H49" s="2">
        <v>40</v>
      </c>
    </row>
    <row r="50" spans="1:8" x14ac:dyDescent="0.25">
      <c r="A50" s="7">
        <v>49</v>
      </c>
      <c r="B50" s="2" t="s">
        <v>323</v>
      </c>
      <c r="C50" s="2" t="s">
        <v>4</v>
      </c>
      <c r="D50" s="2" t="s">
        <v>324</v>
      </c>
      <c r="E50" s="2">
        <v>900</v>
      </c>
      <c r="F50" s="2" t="s">
        <v>580</v>
      </c>
      <c r="G50" s="2">
        <f t="shared" si="1"/>
        <v>585</v>
      </c>
      <c r="H50" s="2">
        <v>250</v>
      </c>
    </row>
    <row r="51" spans="1:8" x14ac:dyDescent="0.25">
      <c r="A51" s="7">
        <v>50</v>
      </c>
      <c r="B51" s="2" t="s">
        <v>400</v>
      </c>
      <c r="C51" s="2" t="s">
        <v>74</v>
      </c>
      <c r="D51" s="2" t="s">
        <v>401</v>
      </c>
      <c r="E51" s="2">
        <v>600</v>
      </c>
      <c r="F51" s="2" t="s">
        <v>580</v>
      </c>
      <c r="G51" s="2">
        <f t="shared" si="1"/>
        <v>390</v>
      </c>
      <c r="H51" s="2">
        <v>300</v>
      </c>
    </row>
    <row r="52" spans="1:8" x14ac:dyDescent="0.25">
      <c r="A52" s="7">
        <v>51</v>
      </c>
      <c r="B52" s="2" t="s">
        <v>404</v>
      </c>
      <c r="C52" s="2" t="s">
        <v>16</v>
      </c>
      <c r="D52" s="2" t="s">
        <v>405</v>
      </c>
      <c r="E52" s="2">
        <v>200</v>
      </c>
      <c r="F52" s="2" t="s">
        <v>580</v>
      </c>
      <c r="G52" s="2">
        <f t="shared" si="1"/>
        <v>130</v>
      </c>
      <c r="H52" s="2">
        <v>130</v>
      </c>
    </row>
    <row r="53" spans="1:8" x14ac:dyDescent="0.25">
      <c r="A53" s="7">
        <v>52</v>
      </c>
      <c r="B53" s="2" t="s">
        <v>398</v>
      </c>
      <c r="C53" s="2" t="s">
        <v>16</v>
      </c>
      <c r="D53" s="2" t="s">
        <v>399</v>
      </c>
      <c r="E53" s="2">
        <v>150</v>
      </c>
      <c r="F53" s="2" t="s">
        <v>580</v>
      </c>
      <c r="G53" s="2">
        <f t="shared" si="1"/>
        <v>97.5</v>
      </c>
      <c r="H53" s="2">
        <v>75</v>
      </c>
    </row>
    <row r="54" spans="1:8" x14ac:dyDescent="0.25">
      <c r="A54" s="7">
        <v>53</v>
      </c>
      <c r="B54" s="2" t="s">
        <v>172</v>
      </c>
      <c r="C54" s="2" t="s">
        <v>74</v>
      </c>
      <c r="D54" s="2" t="s">
        <v>173</v>
      </c>
      <c r="E54" s="2">
        <v>750</v>
      </c>
      <c r="F54" s="2" t="s">
        <v>580</v>
      </c>
      <c r="G54" s="2">
        <f t="shared" si="1"/>
        <v>487.5</v>
      </c>
      <c r="H54" s="2">
        <v>375</v>
      </c>
    </row>
    <row r="55" spans="1:8" x14ac:dyDescent="0.25">
      <c r="A55" s="7">
        <v>54</v>
      </c>
      <c r="B55" s="2" t="s">
        <v>73</v>
      </c>
      <c r="C55" s="2" t="s">
        <v>74</v>
      </c>
      <c r="D55" s="2" t="s">
        <v>75</v>
      </c>
      <c r="E55" s="2">
        <v>1000</v>
      </c>
      <c r="F55" s="2" t="s">
        <v>580</v>
      </c>
      <c r="G55" s="2">
        <f t="shared" si="1"/>
        <v>650</v>
      </c>
      <c r="H55" s="2">
        <v>500</v>
      </c>
    </row>
    <row r="56" spans="1:8" x14ac:dyDescent="0.25">
      <c r="A56" s="7">
        <v>55</v>
      </c>
      <c r="B56" s="2" t="s">
        <v>65</v>
      </c>
      <c r="C56" s="2" t="s">
        <v>4</v>
      </c>
      <c r="D56" s="2" t="s">
        <v>66</v>
      </c>
      <c r="E56" s="2">
        <v>600</v>
      </c>
      <c r="F56" s="2" t="s">
        <v>580</v>
      </c>
      <c r="G56" s="2">
        <f t="shared" si="1"/>
        <v>390</v>
      </c>
      <c r="H56" s="2">
        <v>120</v>
      </c>
    </row>
    <row r="57" spans="1:8" x14ac:dyDescent="0.25">
      <c r="A57" s="7">
        <v>56</v>
      </c>
      <c r="B57" s="2" t="s">
        <v>600</v>
      </c>
      <c r="C57" s="2" t="s">
        <v>4</v>
      </c>
      <c r="D57" s="2" t="s">
        <v>62</v>
      </c>
      <c r="E57" s="2">
        <v>250</v>
      </c>
      <c r="F57" s="2" t="s">
        <v>580</v>
      </c>
      <c r="G57" s="2">
        <f t="shared" si="1"/>
        <v>162.5</v>
      </c>
      <c r="H57" s="2">
        <v>85</v>
      </c>
    </row>
    <row r="58" spans="1:8" x14ac:dyDescent="0.25">
      <c r="A58" s="7">
        <v>57</v>
      </c>
      <c r="B58" s="2" t="s">
        <v>599</v>
      </c>
      <c r="C58" s="2" t="s">
        <v>4</v>
      </c>
      <c r="D58" s="2" t="s">
        <v>61</v>
      </c>
      <c r="E58" s="2">
        <v>250</v>
      </c>
      <c r="F58" s="2" t="s">
        <v>580</v>
      </c>
      <c r="G58" s="2">
        <f t="shared" si="1"/>
        <v>162.5</v>
      </c>
      <c r="H58" s="2">
        <v>85</v>
      </c>
    </row>
    <row r="59" spans="1:8" x14ac:dyDescent="0.25">
      <c r="A59" s="7">
        <v>58</v>
      </c>
      <c r="B59" s="1" t="s">
        <v>633</v>
      </c>
      <c r="C59" s="1" t="s">
        <v>4</v>
      </c>
      <c r="D59" s="1"/>
      <c r="E59" s="1">
        <v>950</v>
      </c>
      <c r="F59" s="2" t="s">
        <v>580</v>
      </c>
      <c r="G59" s="2">
        <f t="shared" si="1"/>
        <v>617.5</v>
      </c>
      <c r="H59" s="2">
        <v>210</v>
      </c>
    </row>
    <row r="60" spans="1:8" x14ac:dyDescent="0.25">
      <c r="A60" s="7">
        <v>59</v>
      </c>
      <c r="B60" s="2" t="s">
        <v>380</v>
      </c>
      <c r="C60" s="2" t="s">
        <v>16</v>
      </c>
      <c r="D60" s="2" t="s">
        <v>381</v>
      </c>
      <c r="E60" s="2">
        <v>300</v>
      </c>
      <c r="F60" s="2" t="s">
        <v>580</v>
      </c>
      <c r="G60" s="2">
        <f t="shared" si="1"/>
        <v>195</v>
      </c>
      <c r="H60" s="2">
        <v>50</v>
      </c>
    </row>
    <row r="61" spans="1:8" x14ac:dyDescent="0.25">
      <c r="A61" s="7">
        <v>60</v>
      </c>
      <c r="B61" s="2" t="s">
        <v>611</v>
      </c>
      <c r="C61" s="2" t="s">
        <v>16</v>
      </c>
      <c r="D61" s="2" t="s">
        <v>364</v>
      </c>
      <c r="E61" s="2">
        <v>300</v>
      </c>
      <c r="F61" s="2" t="s">
        <v>580</v>
      </c>
      <c r="G61" s="2">
        <f t="shared" si="1"/>
        <v>195</v>
      </c>
      <c r="H61" s="2">
        <v>30</v>
      </c>
    </row>
    <row r="62" spans="1:8" x14ac:dyDescent="0.25">
      <c r="A62" s="7">
        <v>61</v>
      </c>
      <c r="B62" s="2" t="s">
        <v>396</v>
      </c>
      <c r="C62" s="2" t="s">
        <v>16</v>
      </c>
      <c r="D62" s="2" t="s">
        <v>397</v>
      </c>
      <c r="E62" s="2">
        <v>75</v>
      </c>
      <c r="F62" s="2" t="s">
        <v>580</v>
      </c>
      <c r="G62" s="2">
        <f t="shared" si="1"/>
        <v>48.75</v>
      </c>
      <c r="H62" s="2">
        <v>15</v>
      </c>
    </row>
    <row r="63" spans="1:8" x14ac:dyDescent="0.25">
      <c r="A63" s="7">
        <v>62</v>
      </c>
      <c r="B63" s="2" t="s">
        <v>546</v>
      </c>
      <c r="C63" s="2" t="s">
        <v>16</v>
      </c>
      <c r="D63" s="2" t="s">
        <v>547</v>
      </c>
      <c r="E63" s="2">
        <v>75</v>
      </c>
      <c r="F63" s="2" t="s">
        <v>580</v>
      </c>
      <c r="G63" s="2">
        <f t="shared" si="1"/>
        <v>48.75</v>
      </c>
      <c r="H63" s="2">
        <v>15</v>
      </c>
    </row>
    <row r="64" spans="1:8" x14ac:dyDescent="0.25">
      <c r="A64" s="7">
        <v>63</v>
      </c>
      <c r="B64" s="2" t="s">
        <v>548</v>
      </c>
      <c r="C64" s="2" t="s">
        <v>16</v>
      </c>
      <c r="D64" s="2" t="s">
        <v>549</v>
      </c>
      <c r="E64" s="2">
        <v>75</v>
      </c>
      <c r="F64" s="2" t="s">
        <v>580</v>
      </c>
      <c r="G64" s="2">
        <f t="shared" si="1"/>
        <v>48.75</v>
      </c>
      <c r="H64" s="2">
        <v>15</v>
      </c>
    </row>
    <row r="65" spans="1:8" x14ac:dyDescent="0.25">
      <c r="A65" s="7">
        <v>64</v>
      </c>
      <c r="B65" s="2" t="s">
        <v>20</v>
      </c>
      <c r="C65" s="2" t="s">
        <v>16</v>
      </c>
      <c r="D65" s="2" t="s">
        <v>22</v>
      </c>
      <c r="E65" s="2">
        <v>100</v>
      </c>
      <c r="F65" s="2" t="s">
        <v>580</v>
      </c>
      <c r="G65" s="2">
        <f t="shared" si="1"/>
        <v>65</v>
      </c>
      <c r="H65" s="2">
        <v>30</v>
      </c>
    </row>
    <row r="66" spans="1:8" x14ac:dyDescent="0.25">
      <c r="A66" s="7">
        <v>65</v>
      </c>
      <c r="B66" s="2" t="s">
        <v>15</v>
      </c>
      <c r="C66" s="2" t="s">
        <v>16</v>
      </c>
      <c r="D66" s="2" t="s">
        <v>17</v>
      </c>
      <c r="E66" s="2">
        <v>75</v>
      </c>
      <c r="F66" s="2" t="s">
        <v>580</v>
      </c>
      <c r="G66" s="2">
        <f t="shared" ref="G66:G97" si="2">E66*0.65</f>
        <v>48.75</v>
      </c>
      <c r="H66" s="2">
        <v>15</v>
      </c>
    </row>
    <row r="67" spans="1:8" x14ac:dyDescent="0.25">
      <c r="A67" s="7">
        <v>66</v>
      </c>
      <c r="B67" s="2" t="s">
        <v>302</v>
      </c>
      <c r="C67" s="2" t="s">
        <v>16</v>
      </c>
      <c r="D67" s="2" t="s">
        <v>303</v>
      </c>
      <c r="E67" s="2">
        <v>225</v>
      </c>
      <c r="F67" s="2" t="s">
        <v>580</v>
      </c>
      <c r="G67" s="2">
        <f t="shared" si="2"/>
        <v>146.25</v>
      </c>
      <c r="H67" s="2">
        <v>50</v>
      </c>
    </row>
    <row r="68" spans="1:8" x14ac:dyDescent="0.25">
      <c r="A68" s="7">
        <v>67</v>
      </c>
      <c r="B68" s="2" t="s">
        <v>18</v>
      </c>
      <c r="C68" s="2" t="s">
        <v>16</v>
      </c>
      <c r="D68" s="2" t="s">
        <v>19</v>
      </c>
      <c r="E68" s="2">
        <v>75</v>
      </c>
      <c r="F68" s="2" t="s">
        <v>580</v>
      </c>
      <c r="G68" s="2">
        <f t="shared" si="2"/>
        <v>48.75</v>
      </c>
      <c r="H68" s="2">
        <v>15</v>
      </c>
    </row>
    <row r="69" spans="1:8" x14ac:dyDescent="0.25">
      <c r="A69" s="7">
        <v>68</v>
      </c>
      <c r="B69" s="2" t="s">
        <v>46</v>
      </c>
      <c r="C69" s="2" t="s">
        <v>16</v>
      </c>
      <c r="D69" s="2" t="s">
        <v>47</v>
      </c>
      <c r="E69" s="2">
        <v>75</v>
      </c>
      <c r="F69" s="2" t="s">
        <v>580</v>
      </c>
      <c r="G69" s="2">
        <f t="shared" si="2"/>
        <v>48.75</v>
      </c>
      <c r="H69" s="2">
        <v>15</v>
      </c>
    </row>
    <row r="70" spans="1:8" x14ac:dyDescent="0.25">
      <c r="A70" s="7">
        <v>69</v>
      </c>
      <c r="B70" s="2" t="s">
        <v>177</v>
      </c>
      <c r="C70" s="2" t="s">
        <v>74</v>
      </c>
      <c r="D70" s="2" t="s">
        <v>178</v>
      </c>
      <c r="E70" s="2">
        <v>225</v>
      </c>
      <c r="F70" s="2" t="s">
        <v>580</v>
      </c>
      <c r="G70" s="2">
        <f t="shared" si="2"/>
        <v>146.25</v>
      </c>
      <c r="H70" s="2">
        <v>100</v>
      </c>
    </row>
    <row r="71" spans="1:8" x14ac:dyDescent="0.25">
      <c r="A71" s="7">
        <v>70</v>
      </c>
      <c r="B71" s="2" t="s">
        <v>298</v>
      </c>
      <c r="C71" s="2" t="s">
        <v>42</v>
      </c>
      <c r="D71" s="2" t="s">
        <v>299</v>
      </c>
      <c r="E71" s="2">
        <v>1500</v>
      </c>
      <c r="F71" s="2" t="s">
        <v>580</v>
      </c>
      <c r="G71" s="2">
        <f t="shared" si="2"/>
        <v>975</v>
      </c>
      <c r="H71" s="2">
        <v>500</v>
      </c>
    </row>
    <row r="72" spans="1:8" x14ac:dyDescent="0.25">
      <c r="A72" s="7">
        <v>71</v>
      </c>
      <c r="B72" s="2" t="s">
        <v>34</v>
      </c>
      <c r="C72" s="2" t="s">
        <v>16</v>
      </c>
      <c r="D72" s="2" t="s">
        <v>35</v>
      </c>
      <c r="E72" s="2">
        <v>750</v>
      </c>
      <c r="F72" s="2" t="s">
        <v>580</v>
      </c>
      <c r="G72" s="2">
        <f t="shared" si="2"/>
        <v>487.5</v>
      </c>
      <c r="H72" s="2">
        <v>150</v>
      </c>
    </row>
    <row r="73" spans="1:8" x14ac:dyDescent="0.25">
      <c r="A73" s="7">
        <v>72</v>
      </c>
      <c r="B73" s="2" t="s">
        <v>111</v>
      </c>
      <c r="C73" s="2" t="s">
        <v>42</v>
      </c>
      <c r="D73" s="2" t="s">
        <v>112</v>
      </c>
      <c r="E73" s="2">
        <v>525</v>
      </c>
      <c r="F73" s="2" t="s">
        <v>580</v>
      </c>
      <c r="G73" s="2">
        <f t="shared" si="2"/>
        <v>341.25</v>
      </c>
      <c r="H73" s="2">
        <v>150</v>
      </c>
    </row>
    <row r="74" spans="1:8" x14ac:dyDescent="0.25">
      <c r="A74" s="7">
        <v>73</v>
      </c>
      <c r="B74" s="2" t="s">
        <v>113</v>
      </c>
      <c r="C74" s="2" t="s">
        <v>638</v>
      </c>
      <c r="D74" s="2" t="s">
        <v>114</v>
      </c>
      <c r="E74" s="2">
        <v>650</v>
      </c>
      <c r="F74" s="2" t="s">
        <v>580</v>
      </c>
      <c r="G74" s="2">
        <f t="shared" si="2"/>
        <v>422.5</v>
      </c>
      <c r="H74" s="2">
        <v>250</v>
      </c>
    </row>
    <row r="75" spans="1:8" x14ac:dyDescent="0.25">
      <c r="A75" s="7">
        <v>74</v>
      </c>
      <c r="B75" s="2" t="s">
        <v>44</v>
      </c>
      <c r="C75" s="2" t="s">
        <v>42</v>
      </c>
      <c r="D75" s="2" t="s">
        <v>45</v>
      </c>
      <c r="E75" s="2">
        <v>450</v>
      </c>
      <c r="F75" s="2" t="s">
        <v>580</v>
      </c>
      <c r="G75" s="2">
        <f t="shared" si="2"/>
        <v>292.5</v>
      </c>
      <c r="H75" s="2">
        <v>150</v>
      </c>
    </row>
    <row r="76" spans="1:8" x14ac:dyDescent="0.25">
      <c r="A76" s="7">
        <v>75</v>
      </c>
      <c r="B76" s="2" t="s">
        <v>630</v>
      </c>
      <c r="C76" s="2" t="s">
        <v>23</v>
      </c>
      <c r="D76" s="2" t="s">
        <v>24</v>
      </c>
      <c r="E76" s="2">
        <v>75</v>
      </c>
      <c r="F76" s="2" t="s">
        <v>580</v>
      </c>
      <c r="G76" s="2">
        <f t="shared" si="2"/>
        <v>48.75</v>
      </c>
      <c r="H76" s="2">
        <v>30</v>
      </c>
    </row>
    <row r="77" spans="1:8" x14ac:dyDescent="0.25">
      <c r="A77" s="7">
        <v>76</v>
      </c>
      <c r="B77" s="2" t="s">
        <v>121</v>
      </c>
      <c r="C77" s="2" t="s">
        <v>42</v>
      </c>
      <c r="D77" s="2" t="s">
        <v>122</v>
      </c>
      <c r="E77" s="2">
        <v>900</v>
      </c>
      <c r="F77" s="2" t="s">
        <v>580</v>
      </c>
      <c r="G77" s="2">
        <f t="shared" si="2"/>
        <v>585</v>
      </c>
      <c r="H77" s="2">
        <v>450</v>
      </c>
    </row>
    <row r="78" spans="1:8" x14ac:dyDescent="0.25">
      <c r="A78" s="7">
        <v>77</v>
      </c>
      <c r="B78" s="2" t="s">
        <v>187</v>
      </c>
      <c r="C78" s="2" t="s">
        <v>188</v>
      </c>
      <c r="D78" s="2" t="s">
        <v>189</v>
      </c>
      <c r="E78" s="2">
        <v>750</v>
      </c>
      <c r="F78" s="2" t="s">
        <v>580</v>
      </c>
      <c r="G78" s="2">
        <f t="shared" si="2"/>
        <v>487.5</v>
      </c>
      <c r="H78" s="2">
        <v>300</v>
      </c>
    </row>
    <row r="79" spans="1:8" x14ac:dyDescent="0.25">
      <c r="A79" s="7">
        <v>78</v>
      </c>
      <c r="B79" s="2" t="s">
        <v>414</v>
      </c>
      <c r="C79" s="2" t="s">
        <v>188</v>
      </c>
      <c r="D79" s="2" t="s">
        <v>415</v>
      </c>
      <c r="E79" s="2">
        <v>1000</v>
      </c>
      <c r="F79" s="2" t="s">
        <v>580</v>
      </c>
      <c r="G79" s="2">
        <f t="shared" si="2"/>
        <v>650</v>
      </c>
      <c r="H79" s="2">
        <v>500</v>
      </c>
    </row>
    <row r="80" spans="1:8" x14ac:dyDescent="0.25">
      <c r="A80" s="7">
        <v>79</v>
      </c>
      <c r="B80" s="2" t="s">
        <v>123</v>
      </c>
      <c r="C80" s="2" t="s">
        <v>39</v>
      </c>
      <c r="D80" s="2" t="s">
        <v>124</v>
      </c>
      <c r="E80" s="2">
        <v>750</v>
      </c>
      <c r="F80" s="2" t="s">
        <v>580</v>
      </c>
      <c r="G80" s="2">
        <f t="shared" si="2"/>
        <v>487.5</v>
      </c>
      <c r="H80" s="2">
        <v>350</v>
      </c>
    </row>
    <row r="81" spans="1:8" x14ac:dyDescent="0.25">
      <c r="A81" s="7">
        <v>80</v>
      </c>
      <c r="B81" s="2" t="s">
        <v>41</v>
      </c>
      <c r="C81" s="2" t="s">
        <v>42</v>
      </c>
      <c r="D81" s="2" t="s">
        <v>43</v>
      </c>
      <c r="E81" s="2">
        <v>525</v>
      </c>
      <c r="F81" s="2" t="s">
        <v>580</v>
      </c>
      <c r="G81" s="2">
        <f t="shared" si="2"/>
        <v>341.25</v>
      </c>
      <c r="H81" s="2">
        <v>160</v>
      </c>
    </row>
    <row r="82" spans="1:8" x14ac:dyDescent="0.25">
      <c r="A82" s="7">
        <v>81</v>
      </c>
      <c r="B82" s="2" t="s">
        <v>554</v>
      </c>
      <c r="C82" s="2" t="s">
        <v>21</v>
      </c>
      <c r="D82" s="2" t="s">
        <v>555</v>
      </c>
      <c r="E82" s="2">
        <v>100</v>
      </c>
      <c r="F82" s="2" t="s">
        <v>580</v>
      </c>
      <c r="G82" s="2">
        <f t="shared" si="2"/>
        <v>65</v>
      </c>
      <c r="H82" s="2"/>
    </row>
    <row r="83" spans="1:8" x14ac:dyDescent="0.25">
      <c r="A83" s="7">
        <v>82</v>
      </c>
      <c r="B83" s="2" t="s">
        <v>601</v>
      </c>
      <c r="C83" s="2" t="s">
        <v>16</v>
      </c>
      <c r="D83" s="2" t="s">
        <v>327</v>
      </c>
      <c r="E83" s="2">
        <v>600</v>
      </c>
      <c r="F83" s="2" t="s">
        <v>580</v>
      </c>
      <c r="G83" s="2">
        <f t="shared" si="2"/>
        <v>390</v>
      </c>
      <c r="H83" s="2">
        <v>50</v>
      </c>
    </row>
    <row r="84" spans="1:8" x14ac:dyDescent="0.25">
      <c r="A84" s="7">
        <v>83</v>
      </c>
      <c r="B84" s="1" t="s">
        <v>627</v>
      </c>
      <c r="C84" s="2" t="s">
        <v>16</v>
      </c>
      <c r="D84" s="1"/>
      <c r="E84" s="1">
        <v>1500</v>
      </c>
      <c r="F84" s="2" t="s">
        <v>580</v>
      </c>
      <c r="G84" s="2">
        <f t="shared" si="2"/>
        <v>975</v>
      </c>
      <c r="H84" s="2">
        <v>150</v>
      </c>
    </row>
    <row r="85" spans="1:8" x14ac:dyDescent="0.25">
      <c r="A85" s="7">
        <v>84</v>
      </c>
      <c r="B85" s="1" t="s">
        <v>625</v>
      </c>
      <c r="C85" s="2" t="s">
        <v>16</v>
      </c>
      <c r="D85" s="1"/>
      <c r="E85" s="1">
        <v>400</v>
      </c>
      <c r="F85" s="2" t="s">
        <v>580</v>
      </c>
      <c r="G85" s="2">
        <f t="shared" si="2"/>
        <v>260</v>
      </c>
      <c r="H85" s="2">
        <v>85</v>
      </c>
    </row>
    <row r="86" spans="1:8" x14ac:dyDescent="0.25">
      <c r="A86" s="7">
        <v>85</v>
      </c>
      <c r="B86" s="1" t="s">
        <v>626</v>
      </c>
      <c r="C86" s="2" t="s">
        <v>16</v>
      </c>
      <c r="D86" s="1"/>
      <c r="E86" s="1">
        <v>675</v>
      </c>
      <c r="F86" s="2" t="s">
        <v>580</v>
      </c>
      <c r="G86" s="2">
        <f t="shared" si="2"/>
        <v>438.75</v>
      </c>
      <c r="H86" s="2">
        <v>170</v>
      </c>
    </row>
    <row r="87" spans="1:8" x14ac:dyDescent="0.25">
      <c r="A87" s="7">
        <v>86</v>
      </c>
      <c r="B87" s="2" t="s">
        <v>388</v>
      </c>
      <c r="C87" s="2" t="s">
        <v>16</v>
      </c>
      <c r="D87" s="2" t="s">
        <v>389</v>
      </c>
      <c r="E87" s="2">
        <v>450</v>
      </c>
      <c r="F87" s="2" t="s">
        <v>580</v>
      </c>
      <c r="G87" s="2">
        <f t="shared" si="2"/>
        <v>292.5</v>
      </c>
      <c r="H87" s="2">
        <v>225</v>
      </c>
    </row>
    <row r="88" spans="1:8" x14ac:dyDescent="0.25">
      <c r="A88" s="7">
        <v>87</v>
      </c>
      <c r="B88" s="2" t="s">
        <v>394</v>
      </c>
      <c r="C88" s="2" t="s">
        <v>16</v>
      </c>
      <c r="D88" s="2" t="s">
        <v>395</v>
      </c>
      <c r="E88" s="2">
        <v>350</v>
      </c>
      <c r="F88" s="2" t="s">
        <v>580</v>
      </c>
      <c r="G88" s="2">
        <f t="shared" si="2"/>
        <v>227.5</v>
      </c>
      <c r="H88" s="2">
        <v>175</v>
      </c>
    </row>
    <row r="89" spans="1:8" x14ac:dyDescent="0.25">
      <c r="A89" s="7">
        <v>88</v>
      </c>
      <c r="B89" s="2" t="s">
        <v>602</v>
      </c>
      <c r="C89" s="2" t="s">
        <v>16</v>
      </c>
      <c r="D89" s="2" t="s">
        <v>371</v>
      </c>
      <c r="E89" s="2">
        <v>300</v>
      </c>
      <c r="F89" s="2" t="s">
        <v>580</v>
      </c>
      <c r="G89" s="2">
        <f t="shared" si="2"/>
        <v>195</v>
      </c>
      <c r="H89" s="2">
        <v>150</v>
      </c>
    </row>
    <row r="90" spans="1:8" x14ac:dyDescent="0.25">
      <c r="A90" s="7">
        <v>89</v>
      </c>
      <c r="B90" s="2" t="s">
        <v>230</v>
      </c>
      <c r="C90" s="2" t="s">
        <v>16</v>
      </c>
      <c r="D90" s="2" t="s">
        <v>231</v>
      </c>
      <c r="E90" s="2">
        <v>750</v>
      </c>
      <c r="F90" s="2" t="s">
        <v>580</v>
      </c>
      <c r="G90" s="2">
        <f t="shared" si="2"/>
        <v>487.5</v>
      </c>
      <c r="H90" s="2">
        <v>200</v>
      </c>
    </row>
    <row r="91" spans="1:8" x14ac:dyDescent="0.25">
      <c r="A91" s="7">
        <v>90</v>
      </c>
      <c r="B91" s="1" t="s">
        <v>623</v>
      </c>
      <c r="C91" s="2" t="s">
        <v>16</v>
      </c>
      <c r="D91" s="1"/>
      <c r="E91" s="1">
        <v>675</v>
      </c>
      <c r="F91" s="2" t="s">
        <v>580</v>
      </c>
      <c r="G91" s="2">
        <f t="shared" si="2"/>
        <v>438.75</v>
      </c>
      <c r="H91" s="2">
        <v>120</v>
      </c>
    </row>
    <row r="92" spans="1:8" x14ac:dyDescent="0.25">
      <c r="A92" s="7">
        <v>91</v>
      </c>
      <c r="B92" s="1" t="s">
        <v>624</v>
      </c>
      <c r="C92" s="2" t="s">
        <v>16</v>
      </c>
      <c r="D92" s="1"/>
      <c r="E92" s="1">
        <v>675</v>
      </c>
      <c r="F92" s="2" t="s">
        <v>580</v>
      </c>
      <c r="G92" s="2">
        <f t="shared" si="2"/>
        <v>438.75</v>
      </c>
      <c r="H92" s="2">
        <v>120</v>
      </c>
    </row>
    <row r="93" spans="1:8" x14ac:dyDescent="0.25">
      <c r="A93" s="7">
        <v>92</v>
      </c>
      <c r="B93" s="2" t="s">
        <v>63</v>
      </c>
      <c r="C93" s="2" t="s">
        <v>4</v>
      </c>
      <c r="D93" s="2" t="s">
        <v>64</v>
      </c>
      <c r="E93" s="2">
        <v>600</v>
      </c>
      <c r="F93" s="2" t="s">
        <v>580</v>
      </c>
      <c r="G93" s="2">
        <f t="shared" si="2"/>
        <v>390</v>
      </c>
      <c r="H93" s="2">
        <v>120</v>
      </c>
    </row>
    <row r="94" spans="1:8" x14ac:dyDescent="0.25">
      <c r="A94" s="7">
        <v>93</v>
      </c>
      <c r="B94" s="2" t="s">
        <v>586</v>
      </c>
      <c r="C94" s="2" t="s">
        <v>23</v>
      </c>
      <c r="D94" s="2" t="s">
        <v>350</v>
      </c>
      <c r="E94" s="2">
        <v>150</v>
      </c>
      <c r="F94" s="2" t="s">
        <v>580</v>
      </c>
      <c r="G94" s="2">
        <f t="shared" si="2"/>
        <v>97.5</v>
      </c>
      <c r="H94" s="2">
        <v>75</v>
      </c>
    </row>
    <row r="95" spans="1:8" x14ac:dyDescent="0.25">
      <c r="A95" s="7">
        <v>94</v>
      </c>
      <c r="B95" s="2" t="s">
        <v>276</v>
      </c>
      <c r="C95" s="2" t="s">
        <v>23</v>
      </c>
      <c r="D95" s="2" t="s">
        <v>277</v>
      </c>
      <c r="E95" s="2">
        <v>975</v>
      </c>
      <c r="F95" s="2" t="s">
        <v>580</v>
      </c>
      <c r="G95" s="2">
        <f t="shared" si="2"/>
        <v>633.75</v>
      </c>
      <c r="H95" s="2">
        <v>300</v>
      </c>
    </row>
    <row r="96" spans="1:8" x14ac:dyDescent="0.25">
      <c r="A96" s="7">
        <v>95</v>
      </c>
      <c r="B96" s="2" t="s">
        <v>310</v>
      </c>
      <c r="C96" s="2" t="s">
        <v>93</v>
      </c>
      <c r="D96" s="2" t="s">
        <v>311</v>
      </c>
      <c r="E96" s="2">
        <v>220</v>
      </c>
      <c r="F96" s="2" t="s">
        <v>580</v>
      </c>
      <c r="G96" s="2">
        <f t="shared" si="2"/>
        <v>143</v>
      </c>
      <c r="H96" s="2"/>
    </row>
    <row r="97" spans="1:8" x14ac:dyDescent="0.25">
      <c r="A97" s="7">
        <v>96</v>
      </c>
      <c r="B97" s="2" t="s">
        <v>250</v>
      </c>
      <c r="C97" s="2" t="s">
        <v>26</v>
      </c>
      <c r="D97" s="2" t="s">
        <v>251</v>
      </c>
      <c r="E97" s="2">
        <v>500</v>
      </c>
      <c r="F97" s="2" t="s">
        <v>580</v>
      </c>
      <c r="G97" s="2">
        <f t="shared" si="2"/>
        <v>325</v>
      </c>
      <c r="H97" s="2">
        <v>250</v>
      </c>
    </row>
    <row r="98" spans="1:8" x14ac:dyDescent="0.25">
      <c r="A98" s="7">
        <v>97</v>
      </c>
      <c r="B98" s="2" t="s">
        <v>588</v>
      </c>
      <c r="C98" s="2" t="s">
        <v>23</v>
      </c>
      <c r="D98" s="2" t="s">
        <v>351</v>
      </c>
      <c r="E98" s="2">
        <v>150</v>
      </c>
      <c r="F98" s="2" t="s">
        <v>580</v>
      </c>
      <c r="G98" s="2">
        <f t="shared" ref="G98:G129" si="3">E98*0.65</f>
        <v>97.5</v>
      </c>
      <c r="H98" s="2">
        <v>75</v>
      </c>
    </row>
    <row r="99" spans="1:8" x14ac:dyDescent="0.25">
      <c r="A99" s="7">
        <v>98</v>
      </c>
      <c r="B99" s="2" t="s">
        <v>587</v>
      </c>
      <c r="C99" s="2" t="s">
        <v>23</v>
      </c>
      <c r="D99" s="2" t="s">
        <v>352</v>
      </c>
      <c r="E99" s="2">
        <v>200</v>
      </c>
      <c r="F99" s="2" t="s">
        <v>580</v>
      </c>
      <c r="G99" s="2">
        <f t="shared" si="3"/>
        <v>130</v>
      </c>
      <c r="H99" s="2">
        <v>75</v>
      </c>
    </row>
    <row r="100" spans="1:8" x14ac:dyDescent="0.25">
      <c r="A100" s="7">
        <v>99</v>
      </c>
      <c r="B100" s="2" t="s">
        <v>496</v>
      </c>
      <c r="C100" s="2" t="s">
        <v>74</v>
      </c>
      <c r="D100" s="2" t="s">
        <v>497</v>
      </c>
      <c r="E100" s="2">
        <v>1100</v>
      </c>
      <c r="F100" s="2" t="s">
        <v>580</v>
      </c>
      <c r="G100" s="2">
        <f t="shared" si="3"/>
        <v>715</v>
      </c>
      <c r="H100" s="2">
        <v>550</v>
      </c>
    </row>
    <row r="101" spans="1:8" x14ac:dyDescent="0.25">
      <c r="A101" s="7">
        <v>100</v>
      </c>
      <c r="B101" s="2" t="s">
        <v>192</v>
      </c>
      <c r="C101" s="2" t="s">
        <v>74</v>
      </c>
      <c r="D101" s="2" t="s">
        <v>193</v>
      </c>
      <c r="E101" s="2">
        <v>600</v>
      </c>
      <c r="F101" s="2" t="s">
        <v>580</v>
      </c>
      <c r="G101" s="2">
        <f t="shared" si="3"/>
        <v>390</v>
      </c>
      <c r="H101" s="2">
        <v>300</v>
      </c>
    </row>
    <row r="102" spans="1:8" x14ac:dyDescent="0.25">
      <c r="A102" s="7">
        <v>101</v>
      </c>
      <c r="B102" s="2" t="s">
        <v>631</v>
      </c>
      <c r="C102" s="2" t="s">
        <v>23</v>
      </c>
      <c r="D102" s="2" t="s">
        <v>33</v>
      </c>
      <c r="E102" s="2">
        <v>130</v>
      </c>
      <c r="F102" s="2" t="s">
        <v>580</v>
      </c>
      <c r="G102" s="2">
        <f t="shared" si="3"/>
        <v>84.5</v>
      </c>
      <c r="H102" s="2">
        <v>60</v>
      </c>
    </row>
    <row r="103" spans="1:8" x14ac:dyDescent="0.25">
      <c r="A103" s="7">
        <v>102</v>
      </c>
      <c r="B103" s="2" t="s">
        <v>260</v>
      </c>
      <c r="C103" s="2" t="s">
        <v>23</v>
      </c>
      <c r="D103" s="2" t="s">
        <v>261</v>
      </c>
      <c r="E103" s="2">
        <v>225</v>
      </c>
      <c r="F103" s="2" t="s">
        <v>580</v>
      </c>
      <c r="G103" s="2">
        <f t="shared" si="3"/>
        <v>146.25</v>
      </c>
      <c r="H103" s="2">
        <v>110</v>
      </c>
    </row>
    <row r="104" spans="1:8" x14ac:dyDescent="0.25">
      <c r="A104" s="7">
        <v>103</v>
      </c>
      <c r="B104" s="2" t="s">
        <v>454</v>
      </c>
      <c r="C104" s="2" t="s">
        <v>23</v>
      </c>
      <c r="D104" s="2" t="s">
        <v>455</v>
      </c>
      <c r="E104" s="2">
        <v>165</v>
      </c>
      <c r="F104" s="2" t="s">
        <v>580</v>
      </c>
      <c r="G104" s="2">
        <f t="shared" si="3"/>
        <v>107.25</v>
      </c>
      <c r="H104" s="2">
        <v>80</v>
      </c>
    </row>
    <row r="105" spans="1:8" x14ac:dyDescent="0.25">
      <c r="A105" s="7">
        <v>104</v>
      </c>
      <c r="B105" s="2" t="s">
        <v>129</v>
      </c>
      <c r="C105" s="2" t="s">
        <v>51</v>
      </c>
      <c r="D105" s="2" t="s">
        <v>130</v>
      </c>
      <c r="E105" s="2">
        <v>80</v>
      </c>
      <c r="F105" s="2" t="s">
        <v>580</v>
      </c>
      <c r="G105" s="2">
        <f t="shared" si="3"/>
        <v>52</v>
      </c>
      <c r="H105" s="2">
        <v>40</v>
      </c>
    </row>
    <row r="106" spans="1:8" x14ac:dyDescent="0.25">
      <c r="A106" s="7">
        <v>105</v>
      </c>
      <c r="B106" s="2" t="s">
        <v>422</v>
      </c>
      <c r="C106" s="2" t="s">
        <v>23</v>
      </c>
      <c r="D106" s="2" t="s">
        <v>423</v>
      </c>
      <c r="E106" s="2">
        <v>165</v>
      </c>
      <c r="F106" s="2" t="s">
        <v>580</v>
      </c>
      <c r="G106" s="2">
        <f t="shared" si="3"/>
        <v>107.25</v>
      </c>
      <c r="H106" s="2">
        <v>80</v>
      </c>
    </row>
    <row r="107" spans="1:8" x14ac:dyDescent="0.25">
      <c r="A107" s="7">
        <v>106</v>
      </c>
      <c r="B107" s="2" t="s">
        <v>258</v>
      </c>
      <c r="C107" s="2" t="s">
        <v>16</v>
      </c>
      <c r="D107" s="2" t="s">
        <v>259</v>
      </c>
      <c r="E107" s="2">
        <v>225</v>
      </c>
      <c r="F107" s="2" t="s">
        <v>580</v>
      </c>
      <c r="G107" s="2">
        <f t="shared" si="3"/>
        <v>146.25</v>
      </c>
      <c r="H107" s="2">
        <v>50</v>
      </c>
    </row>
    <row r="108" spans="1:8" x14ac:dyDescent="0.25">
      <c r="A108" s="7">
        <v>107</v>
      </c>
      <c r="B108" s="2" t="s">
        <v>632</v>
      </c>
      <c r="C108" s="2" t="s">
        <v>23</v>
      </c>
      <c r="D108" s="2" t="s">
        <v>31</v>
      </c>
      <c r="E108" s="2">
        <v>200</v>
      </c>
      <c r="F108" s="2" t="s">
        <v>580</v>
      </c>
      <c r="G108" s="2">
        <f t="shared" si="3"/>
        <v>130</v>
      </c>
      <c r="H108" s="2">
        <v>100</v>
      </c>
    </row>
    <row r="109" spans="1:8" x14ac:dyDescent="0.25">
      <c r="A109" s="7">
        <v>108</v>
      </c>
      <c r="B109" s="2" t="s">
        <v>597</v>
      </c>
      <c r="C109" s="2" t="s">
        <v>16</v>
      </c>
      <c r="D109" s="2" t="s">
        <v>367</v>
      </c>
      <c r="E109" s="2">
        <v>150</v>
      </c>
      <c r="F109" s="2" t="s">
        <v>580</v>
      </c>
      <c r="G109" s="2">
        <f t="shared" si="3"/>
        <v>97.5</v>
      </c>
      <c r="H109" s="2">
        <v>70</v>
      </c>
    </row>
    <row r="110" spans="1:8" x14ac:dyDescent="0.25">
      <c r="A110" s="7">
        <v>109</v>
      </c>
      <c r="B110" s="2" t="s">
        <v>67</v>
      </c>
      <c r="C110" s="2" t="s">
        <v>4</v>
      </c>
      <c r="D110" s="2" t="s">
        <v>68</v>
      </c>
      <c r="E110" s="2">
        <v>600</v>
      </c>
      <c r="F110" s="2" t="s">
        <v>580</v>
      </c>
      <c r="G110" s="2">
        <f t="shared" si="3"/>
        <v>390</v>
      </c>
      <c r="H110" s="2">
        <v>120</v>
      </c>
    </row>
    <row r="111" spans="1:8" x14ac:dyDescent="0.25">
      <c r="A111" s="7">
        <v>110</v>
      </c>
      <c r="B111" s="2" t="s">
        <v>28</v>
      </c>
      <c r="C111" s="2" t="s">
        <v>4</v>
      </c>
      <c r="D111" s="2" t="s">
        <v>29</v>
      </c>
      <c r="E111" s="2">
        <v>900</v>
      </c>
      <c r="F111" s="2" t="s">
        <v>580</v>
      </c>
      <c r="G111" s="2">
        <f t="shared" si="3"/>
        <v>585</v>
      </c>
      <c r="H111" s="2">
        <v>170</v>
      </c>
    </row>
    <row r="112" spans="1:8" x14ac:dyDescent="0.25">
      <c r="A112" s="7">
        <v>111</v>
      </c>
      <c r="B112" s="2" t="s">
        <v>232</v>
      </c>
      <c r="C112" s="2" t="s">
        <v>16</v>
      </c>
      <c r="D112" s="2" t="s">
        <v>233</v>
      </c>
      <c r="E112" s="2">
        <v>500</v>
      </c>
      <c r="F112" s="2" t="s">
        <v>580</v>
      </c>
      <c r="G112" s="2">
        <f t="shared" si="3"/>
        <v>325</v>
      </c>
      <c r="H112" s="2">
        <v>200</v>
      </c>
    </row>
    <row r="113" spans="1:8" x14ac:dyDescent="0.25">
      <c r="A113" s="7">
        <v>112</v>
      </c>
      <c r="B113" s="2" t="s">
        <v>314</v>
      </c>
      <c r="C113" s="2" t="s">
        <v>16</v>
      </c>
      <c r="D113" s="2" t="s">
        <v>315</v>
      </c>
      <c r="E113" s="2">
        <v>300</v>
      </c>
      <c r="F113" s="2" t="s">
        <v>580</v>
      </c>
      <c r="G113" s="2">
        <f t="shared" si="3"/>
        <v>195</v>
      </c>
      <c r="H113" s="2">
        <v>150</v>
      </c>
    </row>
    <row r="114" spans="1:8" x14ac:dyDescent="0.25">
      <c r="A114" s="7">
        <v>113</v>
      </c>
      <c r="B114" s="2" t="s">
        <v>612</v>
      </c>
      <c r="C114" s="2" t="s">
        <v>16</v>
      </c>
      <c r="D114" s="2" t="s">
        <v>378</v>
      </c>
      <c r="E114" s="2">
        <v>225</v>
      </c>
      <c r="F114" s="2" t="s">
        <v>580</v>
      </c>
      <c r="G114" s="2">
        <f t="shared" si="3"/>
        <v>146.25</v>
      </c>
      <c r="H114" s="2">
        <v>100</v>
      </c>
    </row>
    <row r="115" spans="1:8" x14ac:dyDescent="0.25">
      <c r="A115" s="7">
        <v>114</v>
      </c>
      <c r="B115" s="2" t="s">
        <v>76</v>
      </c>
      <c r="C115" s="2" t="s">
        <v>23</v>
      </c>
      <c r="D115" s="2" t="s">
        <v>77</v>
      </c>
      <c r="E115" s="2">
        <v>450</v>
      </c>
      <c r="F115" s="2" t="s">
        <v>580</v>
      </c>
      <c r="G115" s="2">
        <f t="shared" si="3"/>
        <v>292.5</v>
      </c>
      <c r="H115" s="2">
        <v>130</v>
      </c>
    </row>
    <row r="116" spans="1:8" x14ac:dyDescent="0.25">
      <c r="A116" s="7">
        <v>115</v>
      </c>
      <c r="B116" s="2" t="s">
        <v>595</v>
      </c>
      <c r="C116" s="2" t="s">
        <v>23</v>
      </c>
      <c r="D116" s="2" t="s">
        <v>32</v>
      </c>
      <c r="E116" s="2">
        <v>130</v>
      </c>
      <c r="F116" s="2" t="s">
        <v>580</v>
      </c>
      <c r="G116" s="2">
        <f t="shared" si="3"/>
        <v>84.5</v>
      </c>
      <c r="H116" s="2">
        <v>65</v>
      </c>
    </row>
    <row r="117" spans="1:8" x14ac:dyDescent="0.25">
      <c r="A117" s="7">
        <v>116</v>
      </c>
      <c r="B117" s="2" t="s">
        <v>304</v>
      </c>
      <c r="C117" s="2" t="s">
        <v>23</v>
      </c>
      <c r="D117" s="2" t="s">
        <v>305</v>
      </c>
      <c r="E117" s="2">
        <v>375</v>
      </c>
      <c r="F117" s="2" t="s">
        <v>580</v>
      </c>
      <c r="G117" s="2">
        <f t="shared" si="3"/>
        <v>243.75</v>
      </c>
      <c r="H117" s="2">
        <v>160</v>
      </c>
    </row>
    <row r="118" spans="1:8" x14ac:dyDescent="0.25">
      <c r="A118" s="7">
        <v>117</v>
      </c>
      <c r="B118" s="2" t="s">
        <v>292</v>
      </c>
      <c r="C118" s="2" t="s">
        <v>42</v>
      </c>
      <c r="D118" s="2" t="s">
        <v>293</v>
      </c>
      <c r="E118" s="2">
        <v>600</v>
      </c>
      <c r="F118" s="2" t="s">
        <v>580</v>
      </c>
      <c r="G118" s="2">
        <f t="shared" si="3"/>
        <v>390</v>
      </c>
      <c r="H118" s="2">
        <v>210</v>
      </c>
    </row>
    <row r="119" spans="1:8" x14ac:dyDescent="0.25">
      <c r="A119" s="7">
        <v>118</v>
      </c>
      <c r="B119" s="2" t="s">
        <v>125</v>
      </c>
      <c r="C119" s="2" t="s">
        <v>51</v>
      </c>
      <c r="D119" s="2" t="s">
        <v>126</v>
      </c>
      <c r="E119" s="2">
        <v>300</v>
      </c>
      <c r="F119" s="2" t="s">
        <v>580</v>
      </c>
      <c r="G119" s="2">
        <f t="shared" si="3"/>
        <v>195</v>
      </c>
      <c r="H119" s="2">
        <v>150</v>
      </c>
    </row>
    <row r="120" spans="1:8" x14ac:dyDescent="0.25">
      <c r="A120" s="7">
        <v>119</v>
      </c>
      <c r="B120" s="2" t="s">
        <v>566</v>
      </c>
      <c r="C120" s="2" t="s">
        <v>188</v>
      </c>
      <c r="D120" s="2" t="s">
        <v>567</v>
      </c>
      <c r="E120" s="2">
        <v>800</v>
      </c>
      <c r="F120" s="2" t="s">
        <v>637</v>
      </c>
      <c r="G120" s="2">
        <f t="shared" si="3"/>
        <v>520</v>
      </c>
      <c r="H120" s="2">
        <v>350</v>
      </c>
    </row>
    <row r="121" spans="1:8" x14ac:dyDescent="0.25">
      <c r="A121" s="7">
        <v>120</v>
      </c>
      <c r="B121" s="2" t="s">
        <v>127</v>
      </c>
      <c r="C121" s="2" t="s">
        <v>93</v>
      </c>
      <c r="D121" s="2" t="s">
        <v>128</v>
      </c>
      <c r="E121" s="2">
        <v>270</v>
      </c>
      <c r="F121" s="2" t="s">
        <v>580</v>
      </c>
      <c r="G121" s="2">
        <f t="shared" si="3"/>
        <v>175.5</v>
      </c>
      <c r="H121" s="2">
        <v>100</v>
      </c>
    </row>
    <row r="122" spans="1:8" x14ac:dyDescent="0.25">
      <c r="A122" s="7">
        <v>121</v>
      </c>
      <c r="B122" s="2" t="s">
        <v>598</v>
      </c>
      <c r="C122" s="2" t="s">
        <v>16</v>
      </c>
      <c r="D122" s="2" t="s">
        <v>366</v>
      </c>
      <c r="E122" s="2">
        <v>150</v>
      </c>
      <c r="F122" s="2" t="s">
        <v>580</v>
      </c>
      <c r="G122" s="2">
        <f t="shared" si="3"/>
        <v>97.5</v>
      </c>
      <c r="H122" s="2">
        <v>70</v>
      </c>
    </row>
    <row r="123" spans="1:8" x14ac:dyDescent="0.25">
      <c r="A123" s="7">
        <v>122</v>
      </c>
      <c r="B123" s="2" t="s">
        <v>328</v>
      </c>
      <c r="C123" s="2" t="s">
        <v>93</v>
      </c>
      <c r="D123" s="2" t="s">
        <v>329</v>
      </c>
      <c r="E123" s="2">
        <v>950</v>
      </c>
      <c r="F123" s="2" t="s">
        <v>580</v>
      </c>
      <c r="G123" s="2">
        <f t="shared" si="3"/>
        <v>617.5</v>
      </c>
      <c r="H123" s="2">
        <v>475</v>
      </c>
    </row>
    <row r="124" spans="1:8" x14ac:dyDescent="0.25">
      <c r="A124" s="7">
        <v>123</v>
      </c>
      <c r="B124" s="2" t="s">
        <v>424</v>
      </c>
      <c r="C124" s="2" t="s">
        <v>74</v>
      </c>
      <c r="D124" s="2" t="s">
        <v>425</v>
      </c>
      <c r="E124" s="2">
        <v>120</v>
      </c>
      <c r="F124" s="2" t="s">
        <v>580</v>
      </c>
      <c r="G124" s="2">
        <f t="shared" si="3"/>
        <v>78</v>
      </c>
      <c r="H124" s="2">
        <v>100</v>
      </c>
    </row>
    <row r="125" spans="1:8" x14ac:dyDescent="0.25">
      <c r="A125" s="7">
        <v>124</v>
      </c>
      <c r="B125" s="2" t="s">
        <v>194</v>
      </c>
      <c r="C125" s="2" t="s">
        <v>74</v>
      </c>
      <c r="D125" s="2" t="s">
        <v>195</v>
      </c>
      <c r="E125" s="2">
        <v>225</v>
      </c>
      <c r="F125" s="2" t="s">
        <v>580</v>
      </c>
      <c r="G125" s="2">
        <f t="shared" si="3"/>
        <v>146.25</v>
      </c>
      <c r="H125" s="2">
        <v>100</v>
      </c>
    </row>
    <row r="126" spans="1:8" x14ac:dyDescent="0.25">
      <c r="A126" s="7">
        <v>125</v>
      </c>
      <c r="B126" s="2" t="s">
        <v>196</v>
      </c>
      <c r="C126" s="2" t="s">
        <v>74</v>
      </c>
      <c r="D126" s="2" t="s">
        <v>197</v>
      </c>
      <c r="E126" s="2">
        <v>225</v>
      </c>
      <c r="F126" s="2" t="s">
        <v>580</v>
      </c>
      <c r="G126" s="2">
        <f t="shared" si="3"/>
        <v>146.25</v>
      </c>
      <c r="H126" s="2">
        <v>100</v>
      </c>
    </row>
    <row r="127" spans="1:8" x14ac:dyDescent="0.25">
      <c r="A127" s="7">
        <v>126</v>
      </c>
      <c r="B127" s="2" t="s">
        <v>212</v>
      </c>
      <c r="C127" s="2" t="s">
        <v>93</v>
      </c>
      <c r="D127" s="2" t="s">
        <v>213</v>
      </c>
      <c r="E127" s="2">
        <v>450</v>
      </c>
      <c r="F127" s="2" t="s">
        <v>580</v>
      </c>
      <c r="G127" s="2">
        <f t="shared" si="3"/>
        <v>292.5</v>
      </c>
      <c r="H127" s="2">
        <v>225</v>
      </c>
    </row>
    <row r="128" spans="1:8" x14ac:dyDescent="0.25">
      <c r="A128" s="7">
        <v>127</v>
      </c>
      <c r="B128" s="2" t="s">
        <v>131</v>
      </c>
      <c r="C128" s="2" t="s">
        <v>51</v>
      </c>
      <c r="D128" s="2" t="s">
        <v>132</v>
      </c>
      <c r="E128" s="2">
        <v>150</v>
      </c>
      <c r="F128" s="2" t="s">
        <v>580</v>
      </c>
      <c r="G128" s="2">
        <f t="shared" si="3"/>
        <v>97.5</v>
      </c>
      <c r="H128" s="2">
        <v>75</v>
      </c>
    </row>
    <row r="129" spans="1:8" x14ac:dyDescent="0.25">
      <c r="A129" s="7">
        <v>128</v>
      </c>
      <c r="B129" s="2" t="s">
        <v>133</v>
      </c>
      <c r="C129" s="2" t="s">
        <v>51</v>
      </c>
      <c r="D129" s="2" t="s">
        <v>134</v>
      </c>
      <c r="E129" s="2">
        <v>120</v>
      </c>
      <c r="F129" s="2" t="s">
        <v>580</v>
      </c>
      <c r="G129" s="2">
        <f t="shared" si="3"/>
        <v>78</v>
      </c>
      <c r="H129" s="2">
        <v>60</v>
      </c>
    </row>
    <row r="130" spans="1:8" x14ac:dyDescent="0.25">
      <c r="A130" s="7">
        <v>129</v>
      </c>
      <c r="B130" s="2" t="s">
        <v>198</v>
      </c>
      <c r="C130" s="2" t="s">
        <v>74</v>
      </c>
      <c r="D130" s="2" t="s">
        <v>199</v>
      </c>
      <c r="E130" s="2">
        <v>225</v>
      </c>
      <c r="F130" s="2" t="s">
        <v>580</v>
      </c>
      <c r="G130" s="2">
        <f t="shared" ref="G130:G159" si="4">E130*0.65</f>
        <v>146.25</v>
      </c>
      <c r="H130" s="2">
        <v>120</v>
      </c>
    </row>
    <row r="131" spans="1:8" x14ac:dyDescent="0.25">
      <c r="A131" s="7">
        <v>130</v>
      </c>
      <c r="B131" s="2" t="s">
        <v>428</v>
      </c>
      <c r="C131" s="2" t="s">
        <v>4</v>
      </c>
      <c r="D131" s="2" t="s">
        <v>429</v>
      </c>
      <c r="E131" s="2">
        <v>975</v>
      </c>
      <c r="F131" s="2" t="s">
        <v>580</v>
      </c>
      <c r="G131" s="2">
        <f t="shared" si="4"/>
        <v>633.75</v>
      </c>
      <c r="H131" s="2">
        <v>200</v>
      </c>
    </row>
    <row r="132" spans="1:8" x14ac:dyDescent="0.25">
      <c r="A132" s="7">
        <v>131</v>
      </c>
      <c r="B132" s="2" t="s">
        <v>426</v>
      </c>
      <c r="C132" s="2" t="s">
        <v>93</v>
      </c>
      <c r="D132" s="2" t="s">
        <v>427</v>
      </c>
      <c r="E132" s="2">
        <v>950</v>
      </c>
      <c r="F132" s="2" t="s">
        <v>580</v>
      </c>
      <c r="G132" s="2">
        <f t="shared" si="4"/>
        <v>617.5</v>
      </c>
      <c r="H132" s="2">
        <v>475</v>
      </c>
    </row>
    <row r="133" spans="1:8" x14ac:dyDescent="0.25">
      <c r="A133" s="7">
        <v>132</v>
      </c>
      <c r="B133" s="1" t="s">
        <v>622</v>
      </c>
      <c r="C133" s="1" t="s">
        <v>4</v>
      </c>
      <c r="D133" s="1"/>
      <c r="E133" s="1">
        <v>675</v>
      </c>
      <c r="F133" s="2" t="s">
        <v>580</v>
      </c>
      <c r="G133" s="2">
        <f t="shared" si="4"/>
        <v>438.75</v>
      </c>
      <c r="H133" s="2">
        <v>85</v>
      </c>
    </row>
    <row r="134" spans="1:8" x14ac:dyDescent="0.25">
      <c r="A134" s="7">
        <v>134</v>
      </c>
      <c r="B134" s="2" t="s">
        <v>606</v>
      </c>
      <c r="C134" s="2" t="s">
        <v>4</v>
      </c>
      <c r="D134" s="2" t="s">
        <v>321</v>
      </c>
      <c r="E134" s="2">
        <v>250</v>
      </c>
      <c r="F134" s="2" t="s">
        <v>580</v>
      </c>
      <c r="G134" s="2">
        <f t="shared" si="4"/>
        <v>162.5</v>
      </c>
      <c r="H134" s="2">
        <v>75</v>
      </c>
    </row>
    <row r="135" spans="1:8" x14ac:dyDescent="0.25">
      <c r="A135" s="7">
        <v>135</v>
      </c>
      <c r="B135" s="2" t="s">
        <v>603</v>
      </c>
      <c r="C135" s="2" t="s">
        <v>16</v>
      </c>
      <c r="D135" s="2" t="s">
        <v>369</v>
      </c>
      <c r="E135" s="2">
        <v>250</v>
      </c>
      <c r="F135" s="2" t="s">
        <v>580</v>
      </c>
      <c r="G135" s="2">
        <f t="shared" si="4"/>
        <v>162.5</v>
      </c>
      <c r="H135" s="2">
        <v>35</v>
      </c>
    </row>
    <row r="136" spans="1:8" x14ac:dyDescent="0.25">
      <c r="A136" s="7">
        <v>136</v>
      </c>
      <c r="B136" s="2" t="s">
        <v>589</v>
      </c>
      <c r="C136" s="2" t="s">
        <v>23</v>
      </c>
      <c r="D136" s="2" t="s">
        <v>30</v>
      </c>
      <c r="E136" s="2">
        <v>200</v>
      </c>
      <c r="F136" s="2" t="s">
        <v>580</v>
      </c>
      <c r="G136" s="2">
        <f t="shared" si="4"/>
        <v>130</v>
      </c>
      <c r="H136" s="2">
        <v>80</v>
      </c>
    </row>
    <row r="137" spans="1:8" x14ac:dyDescent="0.25">
      <c r="A137" s="7">
        <v>137</v>
      </c>
      <c r="B137" s="2" t="s">
        <v>604</v>
      </c>
      <c r="C137" s="2" t="s">
        <v>16</v>
      </c>
      <c r="D137" s="2" t="s">
        <v>370</v>
      </c>
      <c r="E137" s="2">
        <v>250</v>
      </c>
      <c r="F137" s="2" t="s">
        <v>580</v>
      </c>
      <c r="G137" s="2">
        <f t="shared" si="4"/>
        <v>162.5</v>
      </c>
      <c r="H137" s="2">
        <v>40</v>
      </c>
    </row>
    <row r="138" spans="1:8" x14ac:dyDescent="0.25">
      <c r="A138" s="7">
        <v>138</v>
      </c>
      <c r="B138" s="2" t="s">
        <v>540</v>
      </c>
      <c r="C138" s="2" t="s">
        <v>16</v>
      </c>
      <c r="D138" s="2" t="s">
        <v>541</v>
      </c>
      <c r="E138" s="2">
        <v>290</v>
      </c>
      <c r="F138" s="2" t="s">
        <v>580</v>
      </c>
      <c r="G138" s="2">
        <f t="shared" si="4"/>
        <v>188.5</v>
      </c>
      <c r="H138" s="2">
        <v>45</v>
      </c>
    </row>
    <row r="139" spans="1:8" x14ac:dyDescent="0.25">
      <c r="A139" s="7">
        <v>139</v>
      </c>
      <c r="B139" s="2" t="s">
        <v>607</v>
      </c>
      <c r="C139" s="2" t="s">
        <v>4</v>
      </c>
      <c r="D139" s="2" t="s">
        <v>320</v>
      </c>
      <c r="E139" s="2">
        <v>100</v>
      </c>
      <c r="F139" s="2" t="s">
        <v>580</v>
      </c>
      <c r="G139" s="2">
        <f t="shared" si="4"/>
        <v>65</v>
      </c>
      <c r="H139" s="2">
        <v>75</v>
      </c>
    </row>
    <row r="140" spans="1:8" x14ac:dyDescent="0.25">
      <c r="A140" s="7">
        <v>140</v>
      </c>
      <c r="B140" s="2" t="s">
        <v>137</v>
      </c>
      <c r="C140" s="2" t="s">
        <v>42</v>
      </c>
      <c r="D140" s="2" t="s">
        <v>138</v>
      </c>
      <c r="E140" s="2">
        <v>1200</v>
      </c>
      <c r="F140" s="2" t="s">
        <v>580</v>
      </c>
      <c r="G140" s="2">
        <f t="shared" si="4"/>
        <v>780</v>
      </c>
      <c r="H140" s="2">
        <v>500</v>
      </c>
    </row>
    <row r="141" spans="1:8" x14ac:dyDescent="0.25">
      <c r="A141" s="7">
        <v>141</v>
      </c>
      <c r="B141" s="2" t="s">
        <v>139</v>
      </c>
      <c r="C141" s="2" t="s">
        <v>42</v>
      </c>
      <c r="D141" s="2" t="s">
        <v>140</v>
      </c>
      <c r="E141" s="2">
        <v>1500</v>
      </c>
      <c r="F141" s="2" t="s">
        <v>580</v>
      </c>
      <c r="G141" s="2">
        <f t="shared" si="4"/>
        <v>975</v>
      </c>
      <c r="H141" s="2">
        <v>500</v>
      </c>
    </row>
    <row r="142" spans="1:8" x14ac:dyDescent="0.25">
      <c r="A142" s="7">
        <v>142</v>
      </c>
      <c r="B142" s="2" t="s">
        <v>143</v>
      </c>
      <c r="C142" s="2" t="s">
        <v>42</v>
      </c>
      <c r="D142" s="2" t="s">
        <v>144</v>
      </c>
      <c r="E142" s="2">
        <v>1200</v>
      </c>
      <c r="F142" s="2" t="s">
        <v>580</v>
      </c>
      <c r="G142" s="2">
        <f t="shared" si="4"/>
        <v>780</v>
      </c>
      <c r="H142" s="2">
        <v>200</v>
      </c>
    </row>
    <row r="143" spans="1:8" x14ac:dyDescent="0.25">
      <c r="A143" s="7">
        <v>143</v>
      </c>
      <c r="B143" s="2" t="s">
        <v>145</v>
      </c>
      <c r="C143" s="2" t="s">
        <v>42</v>
      </c>
      <c r="D143" s="2" t="s">
        <v>146</v>
      </c>
      <c r="E143" s="2">
        <v>600</v>
      </c>
      <c r="F143" s="2" t="s">
        <v>580</v>
      </c>
      <c r="G143" s="2">
        <f t="shared" si="4"/>
        <v>390</v>
      </c>
      <c r="H143" s="2">
        <v>180</v>
      </c>
    </row>
    <row r="144" spans="1:8" x14ac:dyDescent="0.25">
      <c r="A144" s="7">
        <v>144</v>
      </c>
      <c r="B144" s="2" t="s">
        <v>608</v>
      </c>
      <c r="C144" s="2" t="s">
        <v>4</v>
      </c>
      <c r="D144" s="2" t="s">
        <v>322</v>
      </c>
      <c r="E144" s="2">
        <v>250</v>
      </c>
      <c r="F144" s="2" t="s">
        <v>580</v>
      </c>
      <c r="G144" s="2">
        <f t="shared" si="4"/>
        <v>162.5</v>
      </c>
      <c r="H144" s="2">
        <v>50</v>
      </c>
    </row>
    <row r="145" spans="1:8" x14ac:dyDescent="0.25">
      <c r="A145" s="7">
        <v>145</v>
      </c>
      <c r="B145" s="2" t="s">
        <v>50</v>
      </c>
      <c r="C145" s="2" t="s">
        <v>51</v>
      </c>
      <c r="D145" s="2" t="s">
        <v>52</v>
      </c>
      <c r="E145" s="2">
        <v>200</v>
      </c>
      <c r="F145" s="2" t="s">
        <v>580</v>
      </c>
      <c r="G145" s="2">
        <f t="shared" si="4"/>
        <v>130</v>
      </c>
      <c r="H145" s="2">
        <v>50</v>
      </c>
    </row>
    <row r="146" spans="1:8" x14ac:dyDescent="0.25">
      <c r="A146" s="7">
        <v>146</v>
      </c>
      <c r="B146" s="2" t="s">
        <v>619</v>
      </c>
      <c r="C146" s="2" t="s">
        <v>16</v>
      </c>
      <c r="D146" s="2" t="s">
        <v>365</v>
      </c>
      <c r="E146" s="2">
        <v>150</v>
      </c>
      <c r="F146" s="2" t="s">
        <v>580</v>
      </c>
      <c r="G146" s="2">
        <f t="shared" si="4"/>
        <v>97.5</v>
      </c>
      <c r="H146" s="2">
        <v>40</v>
      </c>
    </row>
    <row r="147" spans="1:8" x14ac:dyDescent="0.25">
      <c r="A147" s="7">
        <v>147</v>
      </c>
      <c r="B147" s="2" t="s">
        <v>610</v>
      </c>
      <c r="C147" s="2" t="s">
        <v>16</v>
      </c>
      <c r="D147" s="2" t="s">
        <v>361</v>
      </c>
      <c r="E147" s="2">
        <v>150</v>
      </c>
      <c r="F147" s="2" t="s">
        <v>580</v>
      </c>
      <c r="G147" s="2">
        <f t="shared" si="4"/>
        <v>97.5</v>
      </c>
      <c r="H147" s="2">
        <v>40</v>
      </c>
    </row>
    <row r="148" spans="1:8" x14ac:dyDescent="0.25">
      <c r="A148" s="7">
        <v>148</v>
      </c>
      <c r="B148" s="2" t="s">
        <v>318</v>
      </c>
      <c r="C148" s="2" t="s">
        <v>74</v>
      </c>
      <c r="D148" s="2" t="s">
        <v>319</v>
      </c>
      <c r="E148" s="2">
        <v>270</v>
      </c>
      <c r="F148" s="2" t="s">
        <v>580</v>
      </c>
      <c r="G148" s="2">
        <f t="shared" si="4"/>
        <v>175.5</v>
      </c>
      <c r="H148" s="2">
        <v>100</v>
      </c>
    </row>
    <row r="149" spans="1:8" x14ac:dyDescent="0.25">
      <c r="A149" s="7">
        <v>149</v>
      </c>
      <c r="B149" s="2" t="s">
        <v>147</v>
      </c>
      <c r="C149" s="2" t="s">
        <v>93</v>
      </c>
      <c r="D149" s="2" t="s">
        <v>148</v>
      </c>
      <c r="E149" s="2">
        <v>450</v>
      </c>
      <c r="F149" s="2" t="s">
        <v>580</v>
      </c>
      <c r="G149" s="2">
        <f t="shared" si="4"/>
        <v>292.5</v>
      </c>
      <c r="H149" s="2">
        <v>225</v>
      </c>
    </row>
    <row r="150" spans="1:8" x14ac:dyDescent="0.25">
      <c r="A150" s="7">
        <v>150</v>
      </c>
      <c r="B150" s="2" t="s">
        <v>149</v>
      </c>
      <c r="C150" s="2" t="s">
        <v>51</v>
      </c>
      <c r="D150" s="2" t="s">
        <v>150</v>
      </c>
      <c r="E150" s="2">
        <v>225</v>
      </c>
      <c r="F150" s="2" t="s">
        <v>580</v>
      </c>
      <c r="G150" s="2">
        <f t="shared" si="4"/>
        <v>146.25</v>
      </c>
      <c r="H150" s="2">
        <v>100</v>
      </c>
    </row>
    <row r="151" spans="1:8" x14ac:dyDescent="0.25">
      <c r="A151" s="7">
        <v>151</v>
      </c>
      <c r="B151" s="2" t="s">
        <v>151</v>
      </c>
      <c r="C151" s="2" t="s">
        <v>51</v>
      </c>
      <c r="D151" s="2" t="s">
        <v>152</v>
      </c>
      <c r="E151" s="2">
        <v>750</v>
      </c>
      <c r="F151" s="2" t="s">
        <v>580</v>
      </c>
      <c r="G151" s="2">
        <f t="shared" si="4"/>
        <v>487.5</v>
      </c>
      <c r="H151" s="2">
        <v>240</v>
      </c>
    </row>
    <row r="152" spans="1:8" x14ac:dyDescent="0.25">
      <c r="A152" s="7">
        <v>152</v>
      </c>
      <c r="B152" s="2" t="s">
        <v>153</v>
      </c>
      <c r="C152" s="2" t="s">
        <v>51</v>
      </c>
      <c r="D152" s="2" t="s">
        <v>154</v>
      </c>
      <c r="E152" s="2">
        <v>75</v>
      </c>
      <c r="F152" s="2" t="s">
        <v>580</v>
      </c>
      <c r="G152" s="2">
        <f t="shared" si="4"/>
        <v>48.75</v>
      </c>
      <c r="H152" s="2">
        <v>30</v>
      </c>
    </row>
    <row r="153" spans="1:8" x14ac:dyDescent="0.25">
      <c r="A153" s="7">
        <v>153</v>
      </c>
      <c r="B153" s="2" t="s">
        <v>308</v>
      </c>
      <c r="C153" s="2" t="s">
        <v>16</v>
      </c>
      <c r="D153" s="2" t="s">
        <v>309</v>
      </c>
      <c r="E153" s="2">
        <v>300</v>
      </c>
      <c r="F153" s="2" t="s">
        <v>580</v>
      </c>
      <c r="G153" s="2">
        <f t="shared" si="4"/>
        <v>195</v>
      </c>
      <c r="H153" s="2">
        <v>150</v>
      </c>
    </row>
    <row r="154" spans="1:8" x14ac:dyDescent="0.25">
      <c r="A154" s="7">
        <v>154</v>
      </c>
      <c r="B154" s="2" t="s">
        <v>157</v>
      </c>
      <c r="C154" s="2" t="s">
        <v>42</v>
      </c>
      <c r="D154" s="2" t="s">
        <v>158</v>
      </c>
      <c r="E154" s="2">
        <v>525</v>
      </c>
      <c r="F154" s="2" t="s">
        <v>580</v>
      </c>
      <c r="G154" s="2">
        <f t="shared" si="4"/>
        <v>341.25</v>
      </c>
      <c r="H154" s="2">
        <v>130</v>
      </c>
    </row>
    <row r="155" spans="1:8" x14ac:dyDescent="0.25">
      <c r="A155" s="7">
        <v>155</v>
      </c>
      <c r="B155" s="2" t="s">
        <v>3</v>
      </c>
      <c r="C155" s="2" t="s">
        <v>4</v>
      </c>
      <c r="D155" s="2" t="s">
        <v>5</v>
      </c>
      <c r="E155" s="2">
        <v>1493</v>
      </c>
      <c r="F155" s="2" t="s">
        <v>580</v>
      </c>
      <c r="G155" s="2">
        <f t="shared" si="4"/>
        <v>970.45</v>
      </c>
      <c r="H155" s="2">
        <v>230</v>
      </c>
    </row>
    <row r="156" spans="1:8" x14ac:dyDescent="0.25">
      <c r="A156" s="7">
        <v>156</v>
      </c>
      <c r="B156" s="2" t="s">
        <v>6</v>
      </c>
      <c r="C156" s="2" t="s">
        <v>4</v>
      </c>
      <c r="D156" s="2" t="s">
        <v>7</v>
      </c>
      <c r="E156" s="2">
        <v>1493</v>
      </c>
      <c r="F156" s="2" t="s">
        <v>580</v>
      </c>
      <c r="G156" s="2">
        <f t="shared" si="4"/>
        <v>970.45</v>
      </c>
      <c r="H156" s="2">
        <v>250</v>
      </c>
    </row>
    <row r="157" spans="1:8" x14ac:dyDescent="0.25">
      <c r="A157" s="7">
        <v>157</v>
      </c>
      <c r="B157" s="2" t="s">
        <v>159</v>
      </c>
      <c r="C157" s="2" t="s">
        <v>42</v>
      </c>
      <c r="D157" s="2" t="s">
        <v>160</v>
      </c>
      <c r="E157" s="2">
        <v>1223</v>
      </c>
      <c r="F157" s="2" t="s">
        <v>580</v>
      </c>
      <c r="G157" s="2">
        <f t="shared" si="4"/>
        <v>794.95</v>
      </c>
      <c r="H157" s="2">
        <v>670</v>
      </c>
    </row>
    <row r="158" spans="1:8" x14ac:dyDescent="0.25">
      <c r="A158" s="7">
        <v>158</v>
      </c>
      <c r="B158" s="2" t="s">
        <v>161</v>
      </c>
      <c r="C158" s="2" t="s">
        <v>42</v>
      </c>
      <c r="D158" s="2" t="s">
        <v>162</v>
      </c>
      <c r="E158" s="2">
        <v>180</v>
      </c>
      <c r="F158" s="2" t="s">
        <v>580</v>
      </c>
      <c r="G158" s="2">
        <f t="shared" si="4"/>
        <v>117</v>
      </c>
      <c r="H158" s="2">
        <v>60</v>
      </c>
    </row>
    <row r="159" spans="1:8" x14ac:dyDescent="0.25">
      <c r="A159" s="7">
        <v>159</v>
      </c>
      <c r="B159" s="2" t="s">
        <v>163</v>
      </c>
      <c r="C159" s="2" t="s">
        <v>42</v>
      </c>
      <c r="D159" s="2" t="s">
        <v>164</v>
      </c>
      <c r="E159" s="2">
        <v>300</v>
      </c>
      <c r="F159" s="2" t="s">
        <v>580</v>
      </c>
      <c r="G159" s="2">
        <f t="shared" si="4"/>
        <v>195</v>
      </c>
      <c r="H159" s="2">
        <v>120</v>
      </c>
    </row>
    <row r="160" spans="1:8" x14ac:dyDescent="0.25">
      <c r="A160" s="7">
        <v>160</v>
      </c>
      <c r="B160" s="3" t="s">
        <v>532</v>
      </c>
      <c r="C160" s="3" t="s">
        <v>636</v>
      </c>
      <c r="D160" s="3" t="s">
        <v>533</v>
      </c>
      <c r="E160" s="3">
        <v>1400</v>
      </c>
      <c r="F160" s="3" t="s">
        <v>582</v>
      </c>
      <c r="G160" s="3"/>
      <c r="H160" s="3">
        <f>E160*0.85</f>
        <v>1190</v>
      </c>
    </row>
    <row r="161" spans="1:8" x14ac:dyDescent="0.25">
      <c r="A161" s="7">
        <v>161</v>
      </c>
      <c r="B161" s="3" t="s">
        <v>13</v>
      </c>
      <c r="C161" s="3" t="s">
        <v>16</v>
      </c>
      <c r="D161" s="3" t="s">
        <v>14</v>
      </c>
      <c r="E161" s="3">
        <v>825</v>
      </c>
      <c r="F161" s="3" t="s">
        <v>580</v>
      </c>
      <c r="G161" s="3"/>
      <c r="H161" s="3">
        <v>400</v>
      </c>
    </row>
    <row r="162" spans="1:8" x14ac:dyDescent="0.25">
      <c r="A162" s="7">
        <v>162</v>
      </c>
      <c r="B162" s="3" t="s">
        <v>357</v>
      </c>
      <c r="C162" s="3" t="s">
        <v>636</v>
      </c>
      <c r="D162" s="3" t="s">
        <v>358</v>
      </c>
      <c r="E162" s="3">
        <v>900</v>
      </c>
      <c r="F162" s="3" t="s">
        <v>580</v>
      </c>
      <c r="G162" s="3"/>
      <c r="H162" s="3">
        <v>300</v>
      </c>
    </row>
    <row r="163" spans="1:8" x14ac:dyDescent="0.25">
      <c r="A163" s="7">
        <v>163</v>
      </c>
      <c r="B163" s="3" t="s">
        <v>572</v>
      </c>
      <c r="C163" s="3" t="s">
        <v>9</v>
      </c>
      <c r="D163" s="3" t="s">
        <v>573</v>
      </c>
      <c r="E163" s="3">
        <v>6500</v>
      </c>
      <c r="F163" s="3" t="s">
        <v>582</v>
      </c>
      <c r="G163" s="3"/>
      <c r="H163" s="3">
        <f>E163*0.85</f>
        <v>5525</v>
      </c>
    </row>
    <row r="164" spans="1:8" x14ac:dyDescent="0.25">
      <c r="A164" s="7">
        <v>164</v>
      </c>
      <c r="B164" s="3" t="s">
        <v>115</v>
      </c>
      <c r="C164" s="3" t="s">
        <v>636</v>
      </c>
      <c r="D164" s="3" t="s">
        <v>116</v>
      </c>
      <c r="E164" s="3">
        <v>1200</v>
      </c>
      <c r="F164" s="3" t="s">
        <v>582</v>
      </c>
      <c r="G164" s="3"/>
      <c r="H164" s="3">
        <f>E164*0.85</f>
        <v>1020</v>
      </c>
    </row>
    <row r="165" spans="1:8" x14ac:dyDescent="0.25">
      <c r="A165" s="7">
        <v>165</v>
      </c>
      <c r="B165" s="3" t="s">
        <v>518</v>
      </c>
      <c r="C165" s="3" t="s">
        <v>9</v>
      </c>
      <c r="D165" s="3" t="s">
        <v>519</v>
      </c>
      <c r="E165" s="3">
        <v>1200</v>
      </c>
      <c r="F165" s="3" t="s">
        <v>582</v>
      </c>
      <c r="G165" s="3"/>
      <c r="H165" s="3">
        <f>E165*0.85</f>
        <v>1020</v>
      </c>
    </row>
    <row r="166" spans="1:8" x14ac:dyDescent="0.25">
      <c r="A166" s="7">
        <v>166</v>
      </c>
      <c r="B166" s="3" t="s">
        <v>294</v>
      </c>
      <c r="C166" s="3" t="s">
        <v>9</v>
      </c>
      <c r="D166" s="3" t="s">
        <v>295</v>
      </c>
      <c r="E166" s="3">
        <v>1200</v>
      </c>
      <c r="F166" s="3" t="s">
        <v>583</v>
      </c>
      <c r="G166" s="3"/>
      <c r="H166" s="3">
        <f>E166*0.6</f>
        <v>720</v>
      </c>
    </row>
    <row r="167" spans="1:8" x14ac:dyDescent="0.25">
      <c r="A167" s="7">
        <v>167</v>
      </c>
      <c r="B167" s="3" t="s">
        <v>218</v>
      </c>
      <c r="C167" s="3" t="s">
        <v>636</v>
      </c>
      <c r="D167" s="3" t="s">
        <v>219</v>
      </c>
      <c r="E167" s="3">
        <v>900</v>
      </c>
      <c r="F167" s="3" t="s">
        <v>580</v>
      </c>
      <c r="G167" s="3"/>
      <c r="H167" s="3">
        <v>300</v>
      </c>
    </row>
    <row r="168" spans="1:8" x14ac:dyDescent="0.25">
      <c r="A168" s="7">
        <v>168</v>
      </c>
      <c r="B168" s="3" t="s">
        <v>220</v>
      </c>
      <c r="C168" s="3" t="s">
        <v>636</v>
      </c>
      <c r="D168" s="3" t="s">
        <v>221</v>
      </c>
      <c r="E168" s="3">
        <v>900</v>
      </c>
      <c r="F168" s="3" t="s">
        <v>580</v>
      </c>
      <c r="G168" s="3"/>
      <c r="H168" s="3">
        <v>300</v>
      </c>
    </row>
    <row r="169" spans="1:8" x14ac:dyDescent="0.25">
      <c r="A169" s="7">
        <v>169</v>
      </c>
      <c r="B169" s="3" t="s">
        <v>334</v>
      </c>
      <c r="C169" s="3" t="s">
        <v>636</v>
      </c>
      <c r="D169" s="3" t="s">
        <v>335</v>
      </c>
      <c r="E169" s="3">
        <v>1600</v>
      </c>
      <c r="F169" s="3" t="s">
        <v>580</v>
      </c>
      <c r="G169" s="3"/>
      <c r="H169" s="3">
        <v>450</v>
      </c>
    </row>
    <row r="170" spans="1:8" x14ac:dyDescent="0.25">
      <c r="A170" s="7">
        <v>170</v>
      </c>
      <c r="B170" s="3" t="s">
        <v>48</v>
      </c>
      <c r="C170" s="3" t="s">
        <v>636</v>
      </c>
      <c r="D170" s="3" t="s">
        <v>49</v>
      </c>
      <c r="E170" s="3">
        <v>1500</v>
      </c>
      <c r="F170" s="3" t="s">
        <v>580</v>
      </c>
      <c r="G170" s="3"/>
      <c r="H170" s="3">
        <v>550</v>
      </c>
    </row>
    <row r="171" spans="1:8" x14ac:dyDescent="0.25">
      <c r="A171" s="7">
        <v>171</v>
      </c>
      <c r="B171" s="3" t="s">
        <v>168</v>
      </c>
      <c r="C171" s="3" t="s">
        <v>636</v>
      </c>
      <c r="D171" s="3" t="s">
        <v>169</v>
      </c>
      <c r="E171" s="3">
        <v>1500</v>
      </c>
      <c r="F171" s="3" t="s">
        <v>583</v>
      </c>
      <c r="G171" s="3"/>
      <c r="H171" s="3">
        <v>900</v>
      </c>
    </row>
    <row r="172" spans="1:8" x14ac:dyDescent="0.25">
      <c r="A172" s="7">
        <v>172</v>
      </c>
      <c r="B172" s="3" t="s">
        <v>170</v>
      </c>
      <c r="C172" s="3" t="s">
        <v>636</v>
      </c>
      <c r="D172" s="3" t="s">
        <v>171</v>
      </c>
      <c r="E172" s="3">
        <v>1800</v>
      </c>
      <c r="F172" s="3" t="s">
        <v>580</v>
      </c>
      <c r="G172" s="3"/>
      <c r="H172" s="3">
        <v>900</v>
      </c>
    </row>
    <row r="173" spans="1:8" x14ac:dyDescent="0.25">
      <c r="A173" s="7">
        <v>173</v>
      </c>
      <c r="B173" s="3" t="s">
        <v>236</v>
      </c>
      <c r="C173" s="3" t="s">
        <v>636</v>
      </c>
      <c r="D173" s="3" t="s">
        <v>237</v>
      </c>
      <c r="E173" s="3">
        <v>2150</v>
      </c>
      <c r="F173" s="3" t="s">
        <v>580</v>
      </c>
      <c r="G173" s="3"/>
      <c r="H173" s="3">
        <v>1100</v>
      </c>
    </row>
    <row r="174" spans="1:8" x14ac:dyDescent="0.25">
      <c r="A174" s="7">
        <v>174</v>
      </c>
      <c r="B174" s="3" t="s">
        <v>286</v>
      </c>
      <c r="C174" s="3" t="s">
        <v>636</v>
      </c>
      <c r="D174" s="3" t="s">
        <v>287</v>
      </c>
      <c r="E174" s="3">
        <v>900</v>
      </c>
      <c r="F174" s="3" t="s">
        <v>580</v>
      </c>
      <c r="G174" s="3"/>
      <c r="H174" s="3">
        <v>250</v>
      </c>
    </row>
    <row r="175" spans="1:8" x14ac:dyDescent="0.25">
      <c r="A175" s="7">
        <v>175</v>
      </c>
      <c r="B175" s="3" t="s">
        <v>516</v>
      </c>
      <c r="C175" s="3" t="s">
        <v>9</v>
      </c>
      <c r="D175" s="3" t="s">
        <v>517</v>
      </c>
      <c r="E175" s="3">
        <v>2400</v>
      </c>
      <c r="F175" s="3" t="s">
        <v>584</v>
      </c>
      <c r="G175" s="3"/>
      <c r="H175" s="3">
        <f>E175*0.7</f>
        <v>1680</v>
      </c>
    </row>
    <row r="176" spans="1:8" x14ac:dyDescent="0.25">
      <c r="A176" s="7">
        <v>176</v>
      </c>
      <c r="B176" s="3" t="s">
        <v>288</v>
      </c>
      <c r="C176" s="3" t="s">
        <v>636</v>
      </c>
      <c r="D176" s="3" t="s">
        <v>289</v>
      </c>
      <c r="E176" s="3">
        <v>1500</v>
      </c>
      <c r="F176" s="3" t="s">
        <v>582</v>
      </c>
      <c r="G176" s="3"/>
      <c r="H176" s="3">
        <v>740</v>
      </c>
    </row>
    <row r="177" spans="1:8" x14ac:dyDescent="0.25">
      <c r="A177" s="7">
        <v>177</v>
      </c>
      <c r="B177" s="3" t="s">
        <v>82</v>
      </c>
      <c r="C177" s="3" t="s">
        <v>636</v>
      </c>
      <c r="D177" s="3" t="s">
        <v>83</v>
      </c>
      <c r="E177" s="3">
        <v>3100</v>
      </c>
      <c r="F177" s="3" t="s">
        <v>582</v>
      </c>
      <c r="G177" s="3"/>
      <c r="H177" s="3">
        <f>E177*0.85</f>
        <v>2635</v>
      </c>
    </row>
    <row r="178" spans="1:8" x14ac:dyDescent="0.25">
      <c r="A178" s="7">
        <v>178</v>
      </c>
      <c r="B178" s="3" t="s">
        <v>568</v>
      </c>
      <c r="C178" s="3" t="s">
        <v>9</v>
      </c>
      <c r="D178" s="3" t="s">
        <v>569</v>
      </c>
      <c r="E178" s="3">
        <v>1400</v>
      </c>
      <c r="F178" s="3" t="s">
        <v>582</v>
      </c>
      <c r="G178" s="3"/>
      <c r="H178" s="3">
        <f>E178*0.85</f>
        <v>1190</v>
      </c>
    </row>
    <row r="179" spans="1:8" x14ac:dyDescent="0.25">
      <c r="A179" s="7">
        <v>179</v>
      </c>
      <c r="B179" s="3" t="s">
        <v>202</v>
      </c>
      <c r="C179" s="3" t="s">
        <v>9</v>
      </c>
      <c r="D179" s="3" t="s">
        <v>203</v>
      </c>
      <c r="E179" s="3">
        <v>1500</v>
      </c>
      <c r="F179" s="3" t="s">
        <v>583</v>
      </c>
      <c r="G179" s="3"/>
      <c r="H179" s="3">
        <f>E179*0.6</f>
        <v>900</v>
      </c>
    </row>
    <row r="180" spans="1:8" x14ac:dyDescent="0.25">
      <c r="A180" s="7">
        <v>180</v>
      </c>
      <c r="B180" s="3" t="s">
        <v>226</v>
      </c>
      <c r="C180" s="3" t="s">
        <v>636</v>
      </c>
      <c r="D180" s="3" t="s">
        <v>227</v>
      </c>
      <c r="E180" s="3">
        <v>1000</v>
      </c>
      <c r="F180" s="3" t="s">
        <v>583</v>
      </c>
      <c r="G180" s="3"/>
      <c r="H180" s="3">
        <v>600</v>
      </c>
    </row>
    <row r="181" spans="1:8" x14ac:dyDescent="0.25">
      <c r="A181" s="7">
        <v>181</v>
      </c>
      <c r="B181" s="3" t="s">
        <v>436</v>
      </c>
      <c r="C181" s="3" t="s">
        <v>636</v>
      </c>
      <c r="D181" s="3" t="s">
        <v>437</v>
      </c>
      <c r="E181" s="3">
        <v>1000</v>
      </c>
      <c r="F181" s="3" t="s">
        <v>583</v>
      </c>
      <c r="G181" s="3"/>
      <c r="H181" s="3">
        <v>600</v>
      </c>
    </row>
    <row r="182" spans="1:8" x14ac:dyDescent="0.25">
      <c r="A182" s="7">
        <v>182</v>
      </c>
      <c r="B182" s="3" t="s">
        <v>222</v>
      </c>
      <c r="C182" s="3" t="s">
        <v>636</v>
      </c>
      <c r="D182" s="3" t="s">
        <v>223</v>
      </c>
      <c r="E182" s="3">
        <v>1000</v>
      </c>
      <c r="F182" s="3" t="s">
        <v>584</v>
      </c>
      <c r="G182" s="3"/>
      <c r="H182" s="3">
        <f>E182*0.75</f>
        <v>750</v>
      </c>
    </row>
    <row r="183" spans="1:8" x14ac:dyDescent="0.25">
      <c r="A183" s="7">
        <v>183</v>
      </c>
      <c r="B183" s="3" t="s">
        <v>224</v>
      </c>
      <c r="C183" s="3" t="s">
        <v>636</v>
      </c>
      <c r="D183" s="3" t="s">
        <v>225</v>
      </c>
      <c r="E183" s="3">
        <v>1000</v>
      </c>
      <c r="F183" s="3" t="s">
        <v>584</v>
      </c>
      <c r="G183" s="3"/>
      <c r="H183" s="3">
        <v>750</v>
      </c>
    </row>
    <row r="184" spans="1:8" x14ac:dyDescent="0.25">
      <c r="A184" s="7">
        <v>184</v>
      </c>
      <c r="B184" s="3" t="s">
        <v>490</v>
      </c>
      <c r="C184" s="3" t="s">
        <v>9</v>
      </c>
      <c r="D184" s="3" t="s">
        <v>491</v>
      </c>
      <c r="E184" s="3">
        <v>660</v>
      </c>
      <c r="F184" s="3" t="s">
        <v>582</v>
      </c>
      <c r="G184" s="3"/>
      <c r="H184" s="3">
        <f>E184*0.85</f>
        <v>561</v>
      </c>
    </row>
    <row r="185" spans="1:8" x14ac:dyDescent="0.25">
      <c r="A185" s="7">
        <v>185</v>
      </c>
      <c r="B185" s="3" t="s">
        <v>262</v>
      </c>
      <c r="C185" s="3" t="s">
        <v>9</v>
      </c>
      <c r="D185" s="3" t="s">
        <v>263</v>
      </c>
      <c r="E185" s="3">
        <v>2200</v>
      </c>
      <c r="F185" s="3" t="s">
        <v>584</v>
      </c>
      <c r="G185" s="3"/>
      <c r="H185" s="3">
        <f>E185*0.7</f>
        <v>1540</v>
      </c>
    </row>
    <row r="186" spans="1:8" x14ac:dyDescent="0.25">
      <c r="A186" s="7">
        <v>186</v>
      </c>
      <c r="B186" s="3" t="s">
        <v>412</v>
      </c>
      <c r="C186" s="3" t="s">
        <v>636</v>
      </c>
      <c r="D186" s="3" t="s">
        <v>413</v>
      </c>
      <c r="E186" s="3">
        <v>1900</v>
      </c>
      <c r="F186" s="3" t="s">
        <v>583</v>
      </c>
      <c r="G186" s="3"/>
      <c r="H186" s="3">
        <f>E186*0.75</f>
        <v>1425</v>
      </c>
    </row>
    <row r="187" spans="1:8" x14ac:dyDescent="0.25">
      <c r="A187" s="7">
        <v>187</v>
      </c>
      <c r="B187" s="3" t="s">
        <v>526</v>
      </c>
      <c r="C187" s="3" t="s">
        <v>9</v>
      </c>
      <c r="D187" s="3" t="s">
        <v>527</v>
      </c>
      <c r="E187" s="3">
        <v>2000</v>
      </c>
      <c r="F187" s="3" t="s">
        <v>583</v>
      </c>
      <c r="G187" s="3"/>
      <c r="H187" s="3">
        <f>E187*0.6</f>
        <v>1200</v>
      </c>
    </row>
    <row r="188" spans="1:8" x14ac:dyDescent="0.25">
      <c r="A188" s="7">
        <v>188</v>
      </c>
      <c r="B188" s="3" t="s">
        <v>338</v>
      </c>
      <c r="C188" s="3" t="s">
        <v>636</v>
      </c>
      <c r="D188" s="3" t="s">
        <v>339</v>
      </c>
      <c r="E188" s="3">
        <v>1240</v>
      </c>
      <c r="F188" s="3" t="s">
        <v>580</v>
      </c>
      <c r="G188" s="3"/>
      <c r="H188" s="3">
        <v>350</v>
      </c>
    </row>
    <row r="189" spans="1:8" x14ac:dyDescent="0.25">
      <c r="A189" s="7">
        <v>189</v>
      </c>
      <c r="B189" s="3" t="s">
        <v>268</v>
      </c>
      <c r="C189" s="3" t="s">
        <v>636</v>
      </c>
      <c r="D189" s="3" t="s">
        <v>269</v>
      </c>
      <c r="E189" s="3">
        <v>1500</v>
      </c>
      <c r="F189" s="3" t="s">
        <v>580</v>
      </c>
      <c r="G189" s="3"/>
      <c r="H189" s="3">
        <v>600</v>
      </c>
    </row>
    <row r="190" spans="1:8" x14ac:dyDescent="0.25">
      <c r="A190" s="7">
        <v>190</v>
      </c>
      <c r="B190" s="3" t="s">
        <v>486</v>
      </c>
      <c r="C190" s="3" t="s">
        <v>636</v>
      </c>
      <c r="D190" s="3" t="s">
        <v>487</v>
      </c>
      <c r="E190" s="3">
        <v>600</v>
      </c>
      <c r="F190" s="3" t="s">
        <v>584</v>
      </c>
      <c r="G190" s="3"/>
      <c r="H190" s="3">
        <v>450</v>
      </c>
    </row>
    <row r="191" spans="1:8" x14ac:dyDescent="0.25">
      <c r="A191" s="7">
        <v>191</v>
      </c>
      <c r="B191" s="3" t="s">
        <v>244</v>
      </c>
      <c r="C191" s="3" t="s">
        <v>636</v>
      </c>
      <c r="D191" s="3" t="s">
        <v>245</v>
      </c>
      <c r="E191" s="3">
        <v>2200</v>
      </c>
      <c r="F191" s="3" t="s">
        <v>584</v>
      </c>
      <c r="G191" s="3"/>
      <c r="H191" s="3">
        <v>700</v>
      </c>
    </row>
    <row r="192" spans="1:8" x14ac:dyDescent="0.25">
      <c r="A192" s="7">
        <v>192</v>
      </c>
      <c r="B192" s="3" t="s">
        <v>38</v>
      </c>
      <c r="C192" s="3" t="s">
        <v>636</v>
      </c>
      <c r="D192" s="3" t="s">
        <v>40</v>
      </c>
      <c r="E192" s="3">
        <v>640</v>
      </c>
      <c r="F192" s="3" t="s">
        <v>580</v>
      </c>
      <c r="G192" s="3"/>
      <c r="H192" s="3">
        <v>300</v>
      </c>
    </row>
    <row r="193" spans="1:8" x14ac:dyDescent="0.25">
      <c r="A193" s="7">
        <v>193</v>
      </c>
      <c r="B193" s="3" t="s">
        <v>470</v>
      </c>
      <c r="C193" s="3" t="s">
        <v>636</v>
      </c>
      <c r="D193" s="3" t="s">
        <v>471</v>
      </c>
      <c r="E193" s="3">
        <v>7800</v>
      </c>
      <c r="F193" s="3" t="s">
        <v>582</v>
      </c>
      <c r="G193" s="3"/>
      <c r="H193" s="3">
        <v>5000</v>
      </c>
    </row>
    <row r="194" spans="1:8" x14ac:dyDescent="0.25">
      <c r="A194" s="7">
        <v>194</v>
      </c>
      <c r="B194" s="3" t="s">
        <v>536</v>
      </c>
      <c r="C194" s="3" t="s">
        <v>9</v>
      </c>
      <c r="D194" s="3" t="s">
        <v>537</v>
      </c>
      <c r="E194" s="3">
        <v>1200</v>
      </c>
      <c r="F194" s="3" t="s">
        <v>583</v>
      </c>
      <c r="G194" s="3"/>
      <c r="H194" s="3">
        <f>E194*0.6</f>
        <v>720</v>
      </c>
    </row>
    <row r="195" spans="1:8" x14ac:dyDescent="0.25">
      <c r="A195" s="7">
        <v>195</v>
      </c>
      <c r="B195" s="3" t="s">
        <v>534</v>
      </c>
      <c r="C195" s="3" t="s">
        <v>636</v>
      </c>
      <c r="D195" s="3" t="s">
        <v>535</v>
      </c>
      <c r="E195" s="3">
        <v>1500</v>
      </c>
      <c r="F195" s="3" t="s">
        <v>582</v>
      </c>
      <c r="G195" s="3"/>
      <c r="H195" s="3">
        <f>E195*0.9</f>
        <v>1350</v>
      </c>
    </row>
    <row r="196" spans="1:8" x14ac:dyDescent="0.25">
      <c r="A196" s="7">
        <v>196</v>
      </c>
      <c r="B196" s="3" t="s">
        <v>480</v>
      </c>
      <c r="C196" s="3" t="s">
        <v>636</v>
      </c>
      <c r="D196" s="3" t="s">
        <v>481</v>
      </c>
      <c r="E196" s="3">
        <v>5100</v>
      </c>
      <c r="F196" s="3" t="s">
        <v>582</v>
      </c>
      <c r="G196" s="3"/>
      <c r="H196" s="3">
        <f>E196*0.9</f>
        <v>4590</v>
      </c>
    </row>
    <row r="197" spans="1:8" x14ac:dyDescent="0.25">
      <c r="A197" s="7">
        <v>197</v>
      </c>
      <c r="B197" s="3" t="s">
        <v>564</v>
      </c>
      <c r="C197" s="3" t="s">
        <v>636</v>
      </c>
      <c r="D197" s="3" t="s">
        <v>565</v>
      </c>
      <c r="E197" s="3">
        <v>7500</v>
      </c>
      <c r="F197" s="3" t="s">
        <v>582</v>
      </c>
      <c r="G197" s="3"/>
      <c r="H197" s="3">
        <f>E197*0.9</f>
        <v>6750</v>
      </c>
    </row>
    <row r="198" spans="1:8" x14ac:dyDescent="0.25">
      <c r="A198" s="7">
        <v>198</v>
      </c>
      <c r="B198" s="3" t="s">
        <v>438</v>
      </c>
      <c r="C198" s="3" t="s">
        <v>175</v>
      </c>
      <c r="D198" s="3" t="s">
        <v>439</v>
      </c>
      <c r="E198" s="3">
        <v>3200</v>
      </c>
      <c r="F198" s="3" t="s">
        <v>582</v>
      </c>
      <c r="G198" s="3"/>
      <c r="H198" s="3">
        <v>2200</v>
      </c>
    </row>
    <row r="199" spans="1:8" x14ac:dyDescent="0.25">
      <c r="A199" s="7">
        <v>199</v>
      </c>
      <c r="B199" s="3" t="s">
        <v>78</v>
      </c>
      <c r="C199" s="3" t="s">
        <v>636</v>
      </c>
      <c r="D199" s="3" t="s">
        <v>79</v>
      </c>
      <c r="E199" s="3">
        <v>640</v>
      </c>
      <c r="F199" s="3" t="s">
        <v>580</v>
      </c>
      <c r="G199" s="3"/>
      <c r="H199" s="3">
        <v>250</v>
      </c>
    </row>
    <row r="200" spans="1:8" x14ac:dyDescent="0.25">
      <c r="A200" s="7">
        <v>200</v>
      </c>
      <c r="B200" s="3" t="s">
        <v>248</v>
      </c>
      <c r="C200" s="3" t="s">
        <v>636</v>
      </c>
      <c r="D200" s="3" t="s">
        <v>249</v>
      </c>
      <c r="E200" s="3">
        <v>1500</v>
      </c>
      <c r="F200" s="3" t="s">
        <v>583</v>
      </c>
      <c r="G200" s="3"/>
      <c r="H200" s="3">
        <f>E200*0.6</f>
        <v>900</v>
      </c>
    </row>
    <row r="201" spans="1:8" x14ac:dyDescent="0.25">
      <c r="A201" s="7">
        <v>201</v>
      </c>
      <c r="B201" s="3" t="s">
        <v>494</v>
      </c>
      <c r="C201" s="3" t="s">
        <v>636</v>
      </c>
      <c r="D201" s="3" t="s">
        <v>495</v>
      </c>
      <c r="E201" s="3">
        <v>9000</v>
      </c>
      <c r="F201" s="3" t="s">
        <v>581</v>
      </c>
      <c r="G201" s="3"/>
      <c r="H201" s="3">
        <f>E201*0.9</f>
        <v>8100</v>
      </c>
    </row>
    <row r="202" spans="1:8" x14ac:dyDescent="0.25">
      <c r="A202" s="7">
        <v>202</v>
      </c>
      <c r="B202" s="3" t="s">
        <v>514</v>
      </c>
      <c r="C202" s="3" t="s">
        <v>9</v>
      </c>
      <c r="D202" s="3" t="s">
        <v>515</v>
      </c>
      <c r="E202" s="3">
        <v>1400</v>
      </c>
      <c r="F202" s="3" t="s">
        <v>583</v>
      </c>
      <c r="G202" s="3"/>
      <c r="H202" s="3">
        <f>E202*0.6</f>
        <v>840</v>
      </c>
    </row>
    <row r="203" spans="1:8" x14ac:dyDescent="0.25">
      <c r="A203" s="7">
        <v>203</v>
      </c>
      <c r="B203" s="3" t="s">
        <v>214</v>
      </c>
      <c r="C203" s="3" t="s">
        <v>636</v>
      </c>
      <c r="D203" s="3" t="s">
        <v>215</v>
      </c>
      <c r="E203" s="3">
        <v>600</v>
      </c>
      <c r="F203" s="3" t="s">
        <v>580</v>
      </c>
      <c r="G203" s="3"/>
      <c r="H203" s="3">
        <v>300</v>
      </c>
    </row>
    <row r="204" spans="1:8" x14ac:dyDescent="0.25">
      <c r="A204" s="7">
        <v>204</v>
      </c>
      <c r="B204" s="3" t="s">
        <v>216</v>
      </c>
      <c r="C204" s="3" t="s">
        <v>636</v>
      </c>
      <c r="D204" s="3" t="s">
        <v>217</v>
      </c>
      <c r="E204" s="3">
        <v>600</v>
      </c>
      <c r="F204" s="3" t="s">
        <v>580</v>
      </c>
      <c r="G204" s="3"/>
      <c r="H204" s="3">
        <v>300</v>
      </c>
    </row>
    <row r="205" spans="1:8" x14ac:dyDescent="0.25">
      <c r="A205" s="7">
        <v>205</v>
      </c>
      <c r="B205" s="3" t="s">
        <v>446</v>
      </c>
      <c r="C205" s="3" t="s">
        <v>636</v>
      </c>
      <c r="D205" s="3" t="s">
        <v>447</v>
      </c>
      <c r="E205" s="3">
        <v>600</v>
      </c>
      <c r="F205" s="3" t="s">
        <v>582</v>
      </c>
      <c r="G205" s="3"/>
      <c r="H205" s="3">
        <v>500</v>
      </c>
    </row>
    <row r="206" spans="1:8" x14ac:dyDescent="0.25">
      <c r="A206" s="7">
        <v>206</v>
      </c>
      <c r="B206" s="3" t="s">
        <v>420</v>
      </c>
      <c r="C206" s="3" t="s">
        <v>9</v>
      </c>
      <c r="D206" s="3" t="s">
        <v>421</v>
      </c>
      <c r="E206" s="3">
        <v>300</v>
      </c>
      <c r="F206" s="3" t="s">
        <v>582</v>
      </c>
      <c r="G206" s="3"/>
      <c r="H206" s="3">
        <v>200</v>
      </c>
    </row>
    <row r="207" spans="1:8" x14ac:dyDescent="0.25">
      <c r="A207" s="7">
        <v>207</v>
      </c>
      <c r="B207" s="3" t="s">
        <v>418</v>
      </c>
      <c r="C207" s="3" t="s">
        <v>636</v>
      </c>
      <c r="D207" s="3" t="s">
        <v>419</v>
      </c>
      <c r="E207" s="3">
        <v>640</v>
      </c>
      <c r="F207" s="3" t="s">
        <v>580</v>
      </c>
      <c r="G207" s="3"/>
      <c r="H207" s="3">
        <v>300</v>
      </c>
    </row>
    <row r="208" spans="1:8" x14ac:dyDescent="0.25">
      <c r="A208" s="7">
        <v>208</v>
      </c>
      <c r="B208" s="3" t="s">
        <v>524</v>
      </c>
      <c r="C208" s="3" t="s">
        <v>9</v>
      </c>
      <c r="D208" s="3" t="s">
        <v>525</v>
      </c>
      <c r="E208" s="3">
        <v>900</v>
      </c>
      <c r="F208" s="3" t="s">
        <v>584</v>
      </c>
      <c r="G208" s="3"/>
      <c r="H208" s="3">
        <f>E208*0.7</f>
        <v>630</v>
      </c>
    </row>
    <row r="209" spans="1:8" x14ac:dyDescent="0.25">
      <c r="A209" s="7">
        <v>209</v>
      </c>
      <c r="B209" s="3" t="s">
        <v>468</v>
      </c>
      <c r="C209" s="3" t="s">
        <v>636</v>
      </c>
      <c r="D209" s="3" t="s">
        <v>469</v>
      </c>
      <c r="E209" s="3">
        <v>1300</v>
      </c>
      <c r="F209" s="3" t="s">
        <v>582</v>
      </c>
      <c r="G209" s="3"/>
      <c r="H209" s="3">
        <f>E209*0.9</f>
        <v>1170</v>
      </c>
    </row>
    <row r="210" spans="1:8" x14ac:dyDescent="0.25">
      <c r="A210" s="7">
        <v>210</v>
      </c>
      <c r="B210" s="3" t="s">
        <v>456</v>
      </c>
      <c r="C210" s="3" t="s">
        <v>636</v>
      </c>
      <c r="D210" s="3" t="s">
        <v>457</v>
      </c>
      <c r="E210" s="3">
        <v>1200</v>
      </c>
      <c r="F210" s="3" t="s">
        <v>582</v>
      </c>
      <c r="G210" s="3"/>
      <c r="H210" s="3">
        <f>E210*0.9</f>
        <v>1080</v>
      </c>
    </row>
    <row r="211" spans="1:8" x14ac:dyDescent="0.25">
      <c r="A211" s="7">
        <v>211</v>
      </c>
      <c r="B211" s="3" t="s">
        <v>238</v>
      </c>
      <c r="C211" s="3" t="s">
        <v>9</v>
      </c>
      <c r="D211" s="3" t="s">
        <v>239</v>
      </c>
      <c r="E211" s="3">
        <v>1050</v>
      </c>
      <c r="F211" s="3" t="s">
        <v>583</v>
      </c>
      <c r="G211" s="3"/>
      <c r="H211" s="3">
        <f>E211*0.6</f>
        <v>630</v>
      </c>
    </row>
    <row r="212" spans="1:8" x14ac:dyDescent="0.25">
      <c r="A212" s="7">
        <v>212</v>
      </c>
      <c r="B212" s="3" t="s">
        <v>359</v>
      </c>
      <c r="C212" s="3" t="s">
        <v>636</v>
      </c>
      <c r="D212" s="3" t="s">
        <v>360</v>
      </c>
      <c r="E212" s="3">
        <v>1100</v>
      </c>
      <c r="F212" s="3" t="s">
        <v>580</v>
      </c>
      <c r="G212" s="3"/>
      <c r="H212" s="3">
        <v>600</v>
      </c>
    </row>
    <row r="213" spans="1:8" x14ac:dyDescent="0.25">
      <c r="A213" s="7">
        <v>213</v>
      </c>
      <c r="B213" s="3" t="s">
        <v>330</v>
      </c>
      <c r="C213" s="3" t="s">
        <v>636</v>
      </c>
      <c r="D213" s="3" t="s">
        <v>331</v>
      </c>
      <c r="E213" s="3">
        <v>4500</v>
      </c>
      <c r="F213" s="3" t="s">
        <v>580</v>
      </c>
      <c r="G213" s="3"/>
      <c r="H213" s="3">
        <v>2250</v>
      </c>
    </row>
    <row r="214" spans="1:8" x14ac:dyDescent="0.25">
      <c r="A214" s="7">
        <v>214</v>
      </c>
      <c r="B214" s="3" t="s">
        <v>254</v>
      </c>
      <c r="C214" s="3" t="s">
        <v>636</v>
      </c>
      <c r="D214" s="3" t="s">
        <v>255</v>
      </c>
      <c r="E214" s="3">
        <v>5700</v>
      </c>
      <c r="F214" s="3" t="s">
        <v>582</v>
      </c>
      <c r="G214" s="3"/>
      <c r="H214" s="3">
        <f>E214*0.85</f>
        <v>4845</v>
      </c>
    </row>
    <row r="215" spans="1:8" x14ac:dyDescent="0.25">
      <c r="A215" s="7">
        <v>215</v>
      </c>
      <c r="B215" s="3" t="s">
        <v>450</v>
      </c>
      <c r="C215" s="3" t="s">
        <v>636</v>
      </c>
      <c r="D215" s="3" t="s">
        <v>451</v>
      </c>
      <c r="E215" s="3">
        <v>5900</v>
      </c>
      <c r="F215" s="3" t="s">
        <v>582</v>
      </c>
      <c r="G215" s="3"/>
      <c r="H215" s="3">
        <f>E215*0.85</f>
        <v>5015</v>
      </c>
    </row>
    <row r="216" spans="1:8" x14ac:dyDescent="0.25">
      <c r="A216" s="7">
        <v>216</v>
      </c>
      <c r="B216" s="3" t="s">
        <v>552</v>
      </c>
      <c r="C216" s="3" t="s">
        <v>9</v>
      </c>
      <c r="D216" s="3" t="s">
        <v>553</v>
      </c>
      <c r="E216" s="3">
        <v>2200</v>
      </c>
      <c r="F216" s="3" t="s">
        <v>584</v>
      </c>
      <c r="G216" s="3"/>
      <c r="H216" s="3">
        <f>E216*0.7</f>
        <v>1540</v>
      </c>
    </row>
    <row r="217" spans="1:8" x14ac:dyDescent="0.25">
      <c r="A217" s="7">
        <v>217</v>
      </c>
      <c r="B217" s="3" t="s">
        <v>57</v>
      </c>
      <c r="C217" s="3" t="s">
        <v>636</v>
      </c>
      <c r="D217" s="3" t="s">
        <v>58</v>
      </c>
      <c r="E217" s="3">
        <v>450</v>
      </c>
      <c r="F217" s="3" t="s">
        <v>583</v>
      </c>
      <c r="G217" s="3"/>
      <c r="H217" s="3">
        <f>E217*0.6</f>
        <v>270</v>
      </c>
    </row>
    <row r="218" spans="1:8" x14ac:dyDescent="0.25">
      <c r="A218" s="7">
        <v>218</v>
      </c>
      <c r="B218" s="3" t="s">
        <v>284</v>
      </c>
      <c r="C218" s="3" t="s">
        <v>9</v>
      </c>
      <c r="D218" s="3" t="s">
        <v>285</v>
      </c>
      <c r="E218" s="3">
        <v>5900</v>
      </c>
      <c r="F218" s="3" t="s">
        <v>582</v>
      </c>
      <c r="G218" s="3"/>
      <c r="H218" s="3">
        <f>E218*0.85</f>
        <v>5015</v>
      </c>
    </row>
    <row r="219" spans="1:8" x14ac:dyDescent="0.25">
      <c r="A219" s="7">
        <v>219</v>
      </c>
      <c r="B219" s="3" t="s">
        <v>408</v>
      </c>
      <c r="C219" s="3" t="s">
        <v>636</v>
      </c>
      <c r="D219" s="3" t="s">
        <v>409</v>
      </c>
      <c r="E219" s="3">
        <v>22000</v>
      </c>
      <c r="F219" s="3" t="s">
        <v>582</v>
      </c>
      <c r="G219" s="3"/>
      <c r="H219" s="3"/>
    </row>
    <row r="220" spans="1:8" x14ac:dyDescent="0.25">
      <c r="A220" s="7">
        <v>220</v>
      </c>
      <c r="B220" s="3" t="s">
        <v>252</v>
      </c>
      <c r="C220" s="3" t="s">
        <v>9</v>
      </c>
      <c r="D220" s="3" t="s">
        <v>253</v>
      </c>
      <c r="E220" s="3">
        <v>2700</v>
      </c>
      <c r="F220" s="3" t="s">
        <v>582</v>
      </c>
      <c r="G220" s="3"/>
      <c r="H220" s="3">
        <f>E220*0.85</f>
        <v>2295</v>
      </c>
    </row>
    <row r="221" spans="1:8" x14ac:dyDescent="0.25">
      <c r="A221" s="7">
        <v>221</v>
      </c>
      <c r="B221" s="3" t="s">
        <v>452</v>
      </c>
      <c r="C221" s="3" t="s">
        <v>636</v>
      </c>
      <c r="D221" s="3" t="s">
        <v>453</v>
      </c>
      <c r="E221" s="3">
        <v>5400</v>
      </c>
      <c r="F221" s="3" t="s">
        <v>582</v>
      </c>
      <c r="G221" s="3"/>
      <c r="H221" s="3">
        <f>E221*0.85</f>
        <v>4590</v>
      </c>
    </row>
    <row r="222" spans="1:8" x14ac:dyDescent="0.25">
      <c r="A222" s="7">
        <v>222</v>
      </c>
      <c r="B222" s="3" t="s">
        <v>300</v>
      </c>
      <c r="C222" s="3" t="s">
        <v>9</v>
      </c>
      <c r="D222" s="3" t="s">
        <v>301</v>
      </c>
      <c r="E222" s="3">
        <v>1350</v>
      </c>
      <c r="F222" s="3" t="s">
        <v>580</v>
      </c>
      <c r="G222" s="3"/>
      <c r="H222" s="3">
        <v>350</v>
      </c>
    </row>
    <row r="223" spans="1:8" x14ac:dyDescent="0.25">
      <c r="A223" s="7">
        <v>223</v>
      </c>
      <c r="B223" s="3" t="s">
        <v>384</v>
      </c>
      <c r="C223" s="3" t="s">
        <v>636</v>
      </c>
      <c r="D223" s="3" t="s">
        <v>385</v>
      </c>
      <c r="E223" s="3">
        <v>6500</v>
      </c>
      <c r="F223" s="3" t="s">
        <v>581</v>
      </c>
      <c r="G223" s="3"/>
      <c r="H223" s="3">
        <v>5850</v>
      </c>
    </row>
    <row r="224" spans="1:8" x14ac:dyDescent="0.25">
      <c r="A224" s="7">
        <v>224</v>
      </c>
      <c r="B224" s="3" t="s">
        <v>270</v>
      </c>
      <c r="C224" s="3" t="s">
        <v>636</v>
      </c>
      <c r="D224" s="3" t="s">
        <v>271</v>
      </c>
      <c r="E224" s="3">
        <v>850</v>
      </c>
      <c r="F224" s="3" t="s">
        <v>583</v>
      </c>
      <c r="G224" s="3"/>
      <c r="H224" s="3">
        <f>E224*0.6</f>
        <v>510</v>
      </c>
    </row>
    <row r="225" spans="1:8" x14ac:dyDescent="0.25">
      <c r="A225" s="7">
        <v>225</v>
      </c>
      <c r="B225" s="3" t="s">
        <v>542</v>
      </c>
      <c r="C225" s="3" t="s">
        <v>9</v>
      </c>
      <c r="D225" s="3" t="s">
        <v>543</v>
      </c>
      <c r="E225" s="3">
        <v>900</v>
      </c>
      <c r="F225" s="3" t="s">
        <v>583</v>
      </c>
      <c r="G225" s="3"/>
      <c r="H225" s="3">
        <f>E225*0.6</f>
        <v>540</v>
      </c>
    </row>
    <row r="226" spans="1:8" x14ac:dyDescent="0.25">
      <c r="A226" s="7">
        <v>226</v>
      </c>
      <c r="B226" s="3" t="s">
        <v>442</v>
      </c>
      <c r="C226" s="3" t="s">
        <v>9</v>
      </c>
      <c r="D226" s="3" t="s">
        <v>443</v>
      </c>
      <c r="E226" s="3">
        <v>6700</v>
      </c>
      <c r="F226" s="3" t="s">
        <v>582</v>
      </c>
      <c r="G226" s="3"/>
      <c r="H226" s="3">
        <f>E226*0.85</f>
        <v>5695</v>
      </c>
    </row>
    <row r="227" spans="1:8" x14ac:dyDescent="0.25">
      <c r="A227" s="7">
        <v>227</v>
      </c>
      <c r="B227" s="3" t="s">
        <v>174</v>
      </c>
      <c r="C227" s="3" t="s">
        <v>175</v>
      </c>
      <c r="D227" s="3" t="s">
        <v>176</v>
      </c>
      <c r="E227" s="3">
        <v>2420</v>
      </c>
      <c r="F227" s="3" t="s">
        <v>582</v>
      </c>
      <c r="G227" s="3"/>
      <c r="H227" s="3">
        <f>E227*0.85</f>
        <v>2057</v>
      </c>
    </row>
    <row r="228" spans="1:8" x14ac:dyDescent="0.25">
      <c r="A228" s="7">
        <v>228</v>
      </c>
      <c r="B228" s="3" t="s">
        <v>558</v>
      </c>
      <c r="C228" s="3" t="s">
        <v>636</v>
      </c>
      <c r="D228" s="3" t="s">
        <v>559</v>
      </c>
      <c r="E228" s="3">
        <v>1920</v>
      </c>
      <c r="F228" s="3" t="s">
        <v>582</v>
      </c>
      <c r="G228" s="3"/>
      <c r="H228" s="3">
        <f>E228*0.85</f>
        <v>1632</v>
      </c>
    </row>
    <row r="229" spans="1:8" x14ac:dyDescent="0.25">
      <c r="A229" s="7">
        <v>229</v>
      </c>
      <c r="B229" s="3" t="s">
        <v>502</v>
      </c>
      <c r="C229" s="3" t="s">
        <v>636</v>
      </c>
      <c r="D229" s="3" t="s">
        <v>503</v>
      </c>
      <c r="E229" s="3">
        <v>4900</v>
      </c>
      <c r="F229" s="3" t="s">
        <v>581</v>
      </c>
      <c r="G229" s="3"/>
      <c r="H229" s="3">
        <f>E229*0.9</f>
        <v>4410</v>
      </c>
    </row>
    <row r="230" spans="1:8" x14ac:dyDescent="0.25">
      <c r="A230" s="7">
        <v>230</v>
      </c>
      <c r="B230" s="3" t="s">
        <v>538</v>
      </c>
      <c r="C230" s="3" t="s">
        <v>9</v>
      </c>
      <c r="D230" s="3" t="s">
        <v>539</v>
      </c>
      <c r="E230" s="3">
        <v>2100</v>
      </c>
      <c r="F230" s="3" t="s">
        <v>584</v>
      </c>
      <c r="G230" s="3"/>
      <c r="H230" s="3">
        <f>E230*0.7</f>
        <v>1470</v>
      </c>
    </row>
    <row r="231" spans="1:8" x14ac:dyDescent="0.25">
      <c r="A231" s="7">
        <v>231</v>
      </c>
      <c r="B231" s="3" t="s">
        <v>105</v>
      </c>
      <c r="C231" s="3" t="s">
        <v>42</v>
      </c>
      <c r="D231" s="3" t="s">
        <v>106</v>
      </c>
      <c r="E231" s="3">
        <v>1200</v>
      </c>
      <c r="F231" s="3" t="s">
        <v>584</v>
      </c>
      <c r="G231" s="3"/>
      <c r="H231" s="3">
        <v>500</v>
      </c>
    </row>
    <row r="232" spans="1:8" x14ac:dyDescent="0.25">
      <c r="A232" s="7">
        <v>232</v>
      </c>
      <c r="B232" s="3" t="s">
        <v>107</v>
      </c>
      <c r="C232" s="3" t="s">
        <v>42</v>
      </c>
      <c r="D232" s="3" t="s">
        <v>108</v>
      </c>
      <c r="E232" s="3">
        <v>1200</v>
      </c>
      <c r="F232" s="3" t="s">
        <v>584</v>
      </c>
      <c r="G232" s="3"/>
      <c r="H232" s="3">
        <v>500</v>
      </c>
    </row>
    <row r="233" spans="1:8" x14ac:dyDescent="0.25">
      <c r="A233" s="7">
        <v>233</v>
      </c>
      <c r="B233" s="3" t="s">
        <v>109</v>
      </c>
      <c r="C233" s="3" t="s">
        <v>42</v>
      </c>
      <c r="D233" s="3" t="s">
        <v>110</v>
      </c>
      <c r="E233" s="3">
        <v>1200</v>
      </c>
      <c r="F233" s="3" t="s">
        <v>584</v>
      </c>
      <c r="G233" s="3"/>
      <c r="H233" s="3">
        <v>600</v>
      </c>
    </row>
    <row r="234" spans="1:8" x14ac:dyDescent="0.25">
      <c r="A234" s="7">
        <v>234</v>
      </c>
      <c r="B234" s="3" t="s">
        <v>272</v>
      </c>
      <c r="C234" s="3" t="s">
        <v>636</v>
      </c>
      <c r="D234" s="3" t="s">
        <v>273</v>
      </c>
      <c r="E234" s="3">
        <v>1000</v>
      </c>
      <c r="F234" s="3" t="s">
        <v>580</v>
      </c>
      <c r="G234" s="3"/>
      <c r="H234" s="3">
        <v>500</v>
      </c>
    </row>
    <row r="235" spans="1:8" x14ac:dyDescent="0.25">
      <c r="A235" s="7">
        <v>235</v>
      </c>
      <c r="B235" s="3" t="s">
        <v>278</v>
      </c>
      <c r="C235" s="3" t="s">
        <v>636</v>
      </c>
      <c r="D235" s="3" t="s">
        <v>279</v>
      </c>
      <c r="E235" s="3">
        <v>1500</v>
      </c>
      <c r="F235" s="3" t="s">
        <v>580</v>
      </c>
      <c r="G235" s="3"/>
      <c r="H235" s="3">
        <v>350</v>
      </c>
    </row>
    <row r="236" spans="1:8" x14ac:dyDescent="0.25">
      <c r="A236" s="7">
        <v>236</v>
      </c>
      <c r="B236" s="3" t="s">
        <v>179</v>
      </c>
      <c r="C236" s="3" t="s">
        <v>175</v>
      </c>
      <c r="D236" s="3" t="s">
        <v>180</v>
      </c>
      <c r="E236" s="3">
        <v>2700</v>
      </c>
      <c r="F236" s="3" t="s">
        <v>584</v>
      </c>
      <c r="G236" s="3"/>
      <c r="H236" s="3">
        <v>1750</v>
      </c>
    </row>
    <row r="237" spans="1:8" x14ac:dyDescent="0.25">
      <c r="A237" s="7">
        <v>237</v>
      </c>
      <c r="B237" s="3" t="s">
        <v>181</v>
      </c>
      <c r="C237" s="3" t="s">
        <v>175</v>
      </c>
      <c r="D237" s="3" t="s">
        <v>182</v>
      </c>
      <c r="E237" s="3">
        <v>4800</v>
      </c>
      <c r="F237" s="3" t="s">
        <v>584</v>
      </c>
      <c r="G237" s="3"/>
      <c r="H237" s="3">
        <v>1850</v>
      </c>
    </row>
    <row r="238" spans="1:8" x14ac:dyDescent="0.25">
      <c r="A238" s="7">
        <v>238</v>
      </c>
      <c r="B238" s="3" t="s">
        <v>210</v>
      </c>
      <c r="C238" s="3" t="s">
        <v>175</v>
      </c>
      <c r="D238" s="3" t="s">
        <v>211</v>
      </c>
      <c r="E238" s="3">
        <v>2500</v>
      </c>
      <c r="F238" s="3" t="s">
        <v>584</v>
      </c>
      <c r="G238" s="3"/>
      <c r="H238" s="3">
        <v>1800</v>
      </c>
    </row>
    <row r="239" spans="1:8" x14ac:dyDescent="0.25">
      <c r="A239" s="7">
        <v>239</v>
      </c>
      <c r="B239" s="3" t="s">
        <v>183</v>
      </c>
      <c r="C239" s="3" t="s">
        <v>175</v>
      </c>
      <c r="D239" s="3" t="s">
        <v>184</v>
      </c>
      <c r="E239" s="3">
        <v>3300</v>
      </c>
      <c r="F239" s="3" t="s">
        <v>584</v>
      </c>
      <c r="G239" s="3"/>
      <c r="H239" s="3">
        <v>1850</v>
      </c>
    </row>
    <row r="240" spans="1:8" x14ac:dyDescent="0.25">
      <c r="A240" s="7">
        <v>240</v>
      </c>
      <c r="B240" s="3" t="s">
        <v>185</v>
      </c>
      <c r="C240" s="3" t="s">
        <v>175</v>
      </c>
      <c r="D240" s="3" t="s">
        <v>186</v>
      </c>
      <c r="E240" s="3">
        <v>4300</v>
      </c>
      <c r="F240" s="3" t="s">
        <v>584</v>
      </c>
      <c r="G240" s="3"/>
      <c r="H240" s="3">
        <v>1850</v>
      </c>
    </row>
    <row r="241" spans="1:8" x14ac:dyDescent="0.25">
      <c r="A241" s="7">
        <v>241</v>
      </c>
      <c r="B241" s="3" t="s">
        <v>240</v>
      </c>
      <c r="C241" s="3" t="s">
        <v>636</v>
      </c>
      <c r="D241" s="3" t="s">
        <v>241</v>
      </c>
      <c r="E241" s="3">
        <v>1800</v>
      </c>
      <c r="F241" s="3" t="s">
        <v>584</v>
      </c>
      <c r="G241" s="3"/>
      <c r="H241" s="3">
        <f>E241*0.75</f>
        <v>1350</v>
      </c>
    </row>
    <row r="242" spans="1:8" x14ac:dyDescent="0.25">
      <c r="A242" s="7">
        <v>242</v>
      </c>
      <c r="B242" s="3" t="s">
        <v>242</v>
      </c>
      <c r="C242" s="3" t="s">
        <v>636</v>
      </c>
      <c r="D242" s="3" t="s">
        <v>243</v>
      </c>
      <c r="E242" s="3">
        <v>1800</v>
      </c>
      <c r="F242" s="3" t="s">
        <v>584</v>
      </c>
      <c r="G242" s="3"/>
      <c r="H242" s="3">
        <f>E242*0.75</f>
        <v>1350</v>
      </c>
    </row>
    <row r="243" spans="1:8" x14ac:dyDescent="0.25">
      <c r="A243" s="7">
        <v>243</v>
      </c>
      <c r="B243" s="3" t="s">
        <v>90</v>
      </c>
      <c r="C243" s="3" t="s">
        <v>636</v>
      </c>
      <c r="D243" s="3" t="s">
        <v>91</v>
      </c>
      <c r="E243" s="3">
        <v>1800</v>
      </c>
      <c r="F243" s="3" t="s">
        <v>584</v>
      </c>
      <c r="G243" s="3"/>
      <c r="H243" s="3">
        <f>E243*0.75</f>
        <v>1350</v>
      </c>
    </row>
    <row r="244" spans="1:8" x14ac:dyDescent="0.25">
      <c r="A244" s="7">
        <v>244</v>
      </c>
      <c r="B244" s="3" t="s">
        <v>382</v>
      </c>
      <c r="C244" s="3" t="s">
        <v>636</v>
      </c>
      <c r="D244" s="3" t="s">
        <v>383</v>
      </c>
      <c r="E244" s="3">
        <v>1800</v>
      </c>
      <c r="F244" s="3" t="s">
        <v>584</v>
      </c>
      <c r="G244" s="3"/>
      <c r="H244" s="3">
        <f>E244*0.75</f>
        <v>1350</v>
      </c>
    </row>
    <row r="245" spans="1:8" x14ac:dyDescent="0.25">
      <c r="A245" s="7">
        <v>245</v>
      </c>
      <c r="B245" s="3" t="s">
        <v>460</v>
      </c>
      <c r="C245" s="3" t="s">
        <v>636</v>
      </c>
      <c r="D245" s="3" t="s">
        <v>461</v>
      </c>
      <c r="E245" s="3">
        <v>1100</v>
      </c>
      <c r="F245" s="3" t="s">
        <v>584</v>
      </c>
      <c r="G245" s="3"/>
      <c r="H245" s="3"/>
    </row>
    <row r="246" spans="1:8" x14ac:dyDescent="0.25">
      <c r="A246" s="7">
        <v>246</v>
      </c>
      <c r="B246" s="3" t="s">
        <v>522</v>
      </c>
      <c r="C246" s="3" t="s">
        <v>636</v>
      </c>
      <c r="D246" s="3" t="s">
        <v>523</v>
      </c>
      <c r="E246" s="3">
        <v>1100</v>
      </c>
      <c r="F246" s="3" t="s">
        <v>584</v>
      </c>
      <c r="G246" s="3"/>
      <c r="H246" s="3"/>
    </row>
    <row r="247" spans="1:8" x14ac:dyDescent="0.25">
      <c r="A247" s="7">
        <v>247</v>
      </c>
      <c r="B247" s="3" t="s">
        <v>117</v>
      </c>
      <c r="C247" s="3" t="s">
        <v>42</v>
      </c>
      <c r="D247" s="3" t="s">
        <v>118</v>
      </c>
      <c r="E247" s="3">
        <v>1500</v>
      </c>
      <c r="F247" s="3" t="s">
        <v>584</v>
      </c>
      <c r="G247" s="3"/>
      <c r="H247" s="3">
        <v>450</v>
      </c>
    </row>
    <row r="248" spans="1:8" x14ac:dyDescent="0.25">
      <c r="A248" s="7">
        <v>248</v>
      </c>
      <c r="B248" s="3" t="s">
        <v>492</v>
      </c>
      <c r="C248" s="3" t="s">
        <v>636</v>
      </c>
      <c r="D248" s="3" t="s">
        <v>493</v>
      </c>
      <c r="E248" s="3">
        <v>800</v>
      </c>
      <c r="F248" s="3" t="s">
        <v>584</v>
      </c>
      <c r="G248" s="3"/>
      <c r="H248" s="3">
        <v>450</v>
      </c>
    </row>
    <row r="249" spans="1:8" x14ac:dyDescent="0.25">
      <c r="A249" s="7">
        <v>249</v>
      </c>
      <c r="B249" s="3" t="s">
        <v>458</v>
      </c>
      <c r="C249" s="3" t="s">
        <v>636</v>
      </c>
      <c r="D249" s="3" t="s">
        <v>459</v>
      </c>
      <c r="E249" s="3">
        <v>1000</v>
      </c>
      <c r="F249" s="3" t="s">
        <v>580</v>
      </c>
      <c r="G249" s="3"/>
      <c r="H249" s="3">
        <v>500</v>
      </c>
    </row>
    <row r="250" spans="1:8" x14ac:dyDescent="0.25">
      <c r="A250" s="7">
        <v>250</v>
      </c>
      <c r="B250" s="3" t="s">
        <v>478</v>
      </c>
      <c r="C250" s="3" t="s">
        <v>636</v>
      </c>
      <c r="D250" s="3" t="s">
        <v>479</v>
      </c>
      <c r="E250" s="3">
        <v>1300</v>
      </c>
      <c r="F250" s="3" t="s">
        <v>580</v>
      </c>
      <c r="G250" s="3"/>
      <c r="H250" s="3">
        <v>300</v>
      </c>
    </row>
    <row r="251" spans="1:8" x14ac:dyDescent="0.25">
      <c r="A251" s="7">
        <v>251</v>
      </c>
      <c r="B251" s="3" t="s">
        <v>119</v>
      </c>
      <c r="C251" s="3" t="s">
        <v>42</v>
      </c>
      <c r="D251" s="3" t="s">
        <v>120</v>
      </c>
      <c r="E251" s="3">
        <v>1800</v>
      </c>
      <c r="F251" s="3" t="s">
        <v>584</v>
      </c>
      <c r="G251" s="3"/>
      <c r="H251" s="3">
        <v>500</v>
      </c>
    </row>
    <row r="252" spans="1:8" x14ac:dyDescent="0.25">
      <c r="A252" s="7">
        <v>252</v>
      </c>
      <c r="B252" s="3" t="s">
        <v>190</v>
      </c>
      <c r="C252" s="3" t="s">
        <v>636</v>
      </c>
      <c r="D252" s="3" t="s">
        <v>191</v>
      </c>
      <c r="E252" s="3">
        <v>5400</v>
      </c>
      <c r="F252" s="3" t="s">
        <v>583</v>
      </c>
      <c r="G252" s="3"/>
      <c r="H252" s="3">
        <f>E252*0.6</f>
        <v>3240</v>
      </c>
    </row>
    <row r="253" spans="1:8" x14ac:dyDescent="0.25">
      <c r="A253" s="7">
        <v>253</v>
      </c>
      <c r="B253" s="3" t="s">
        <v>306</v>
      </c>
      <c r="C253" s="3" t="s">
        <v>636</v>
      </c>
      <c r="D253" s="3" t="s">
        <v>307</v>
      </c>
      <c r="E253" s="3">
        <v>2400</v>
      </c>
      <c r="F253" s="3" t="s">
        <v>583</v>
      </c>
      <c r="G253" s="3"/>
      <c r="H253" s="3">
        <f>E253*0.6</f>
        <v>1440</v>
      </c>
    </row>
    <row r="254" spans="1:8" x14ac:dyDescent="0.25">
      <c r="A254" s="7">
        <v>254</v>
      </c>
      <c r="B254" s="3" t="s">
        <v>556</v>
      </c>
      <c r="C254" s="3" t="s">
        <v>9</v>
      </c>
      <c r="D254" s="3" t="s">
        <v>557</v>
      </c>
      <c r="E254" s="3">
        <v>3200</v>
      </c>
      <c r="F254" s="3" t="s">
        <v>584</v>
      </c>
      <c r="G254" s="3"/>
      <c r="H254" s="3">
        <f>E254*0.7</f>
        <v>2240</v>
      </c>
    </row>
    <row r="255" spans="1:8" x14ac:dyDescent="0.25">
      <c r="A255" s="7">
        <v>255</v>
      </c>
      <c r="B255" s="3" t="s">
        <v>204</v>
      </c>
      <c r="C255" s="3" t="s">
        <v>636</v>
      </c>
      <c r="D255" s="3" t="s">
        <v>205</v>
      </c>
      <c r="E255" s="3">
        <v>1000</v>
      </c>
      <c r="F255" s="3" t="s">
        <v>580</v>
      </c>
      <c r="G255" s="3"/>
      <c r="H255" s="3">
        <v>800</v>
      </c>
    </row>
    <row r="256" spans="1:8" x14ac:dyDescent="0.25">
      <c r="A256" s="7">
        <v>256</v>
      </c>
      <c r="B256" s="3" t="s">
        <v>576</v>
      </c>
      <c r="C256" s="3" t="s">
        <v>636</v>
      </c>
      <c r="D256" s="3" t="s">
        <v>577</v>
      </c>
      <c r="E256" s="3">
        <v>1500</v>
      </c>
      <c r="F256" s="3" t="s">
        <v>584</v>
      </c>
      <c r="G256" s="3"/>
      <c r="H256" s="3">
        <f>E256*0.75</f>
        <v>1125</v>
      </c>
    </row>
    <row r="257" spans="1:8" x14ac:dyDescent="0.25">
      <c r="A257" s="7">
        <v>257</v>
      </c>
      <c r="B257" s="3" t="s">
        <v>340</v>
      </c>
      <c r="C257" s="3" t="s">
        <v>636</v>
      </c>
      <c r="D257" s="3" t="s">
        <v>341</v>
      </c>
      <c r="E257" s="3">
        <v>1300</v>
      </c>
      <c r="F257" s="3" t="s">
        <v>584</v>
      </c>
      <c r="G257" s="3"/>
      <c r="H257" s="3">
        <v>800</v>
      </c>
    </row>
    <row r="258" spans="1:8" x14ac:dyDescent="0.25">
      <c r="A258" s="7">
        <v>258</v>
      </c>
      <c r="B258" s="3" t="s">
        <v>530</v>
      </c>
      <c r="C258" s="3" t="s">
        <v>636</v>
      </c>
      <c r="D258" s="3" t="s">
        <v>531</v>
      </c>
      <c r="E258" s="3">
        <v>660</v>
      </c>
      <c r="F258" s="3" t="s">
        <v>584</v>
      </c>
      <c r="G258" s="3"/>
      <c r="H258" s="3">
        <f>E258*0.75</f>
        <v>495</v>
      </c>
    </row>
    <row r="259" spans="1:8" x14ac:dyDescent="0.25">
      <c r="A259" s="7">
        <v>259</v>
      </c>
      <c r="B259" s="3" t="s">
        <v>71</v>
      </c>
      <c r="C259" s="3" t="s">
        <v>636</v>
      </c>
      <c r="D259" s="3" t="s">
        <v>72</v>
      </c>
      <c r="E259" s="3">
        <v>810</v>
      </c>
      <c r="F259" s="3" t="s">
        <v>580</v>
      </c>
      <c r="G259" s="3"/>
      <c r="H259" s="3">
        <v>350</v>
      </c>
    </row>
    <row r="260" spans="1:8" x14ac:dyDescent="0.25">
      <c r="A260" s="7">
        <v>260</v>
      </c>
      <c r="B260" s="3" t="s">
        <v>570</v>
      </c>
      <c r="C260" s="3" t="s">
        <v>9</v>
      </c>
      <c r="D260" s="3" t="s">
        <v>571</v>
      </c>
      <c r="E260" s="3">
        <v>400</v>
      </c>
      <c r="F260" s="3" t="s">
        <v>583</v>
      </c>
      <c r="G260" s="3"/>
      <c r="H260" s="3">
        <f>E260*0.6</f>
        <v>240</v>
      </c>
    </row>
    <row r="261" spans="1:8" x14ac:dyDescent="0.25">
      <c r="A261" s="7">
        <v>261</v>
      </c>
      <c r="B261" s="3" t="s">
        <v>444</v>
      </c>
      <c r="C261" s="3" t="s">
        <v>636</v>
      </c>
      <c r="D261" s="3" t="s">
        <v>445</v>
      </c>
      <c r="E261" s="3">
        <v>2000</v>
      </c>
      <c r="F261" s="3" t="s">
        <v>584</v>
      </c>
      <c r="G261" s="3"/>
      <c r="H261" s="3">
        <f>E261*0.75</f>
        <v>1500</v>
      </c>
    </row>
    <row r="262" spans="1:8" x14ac:dyDescent="0.25">
      <c r="A262" s="7">
        <v>262</v>
      </c>
      <c r="B262" s="3" t="s">
        <v>544</v>
      </c>
      <c r="C262" s="3" t="s">
        <v>636</v>
      </c>
      <c r="D262" s="3" t="s">
        <v>545</v>
      </c>
      <c r="E262" s="3">
        <v>800</v>
      </c>
      <c r="F262" s="3" t="s">
        <v>580</v>
      </c>
      <c r="G262" s="3"/>
      <c r="H262" s="3">
        <v>350</v>
      </c>
    </row>
    <row r="263" spans="1:8" x14ac:dyDescent="0.25">
      <c r="A263" s="7">
        <v>263</v>
      </c>
      <c r="B263" s="3" t="s">
        <v>336</v>
      </c>
      <c r="C263" s="3" t="s">
        <v>636</v>
      </c>
      <c r="D263" s="3" t="s">
        <v>337</v>
      </c>
      <c r="E263" s="3">
        <v>800</v>
      </c>
      <c r="F263" s="3" t="s">
        <v>580</v>
      </c>
      <c r="G263" s="3"/>
      <c r="H263" s="3">
        <v>350</v>
      </c>
    </row>
    <row r="264" spans="1:8" x14ac:dyDescent="0.25">
      <c r="A264" s="7">
        <v>264</v>
      </c>
      <c r="B264" s="3" t="s">
        <v>266</v>
      </c>
      <c r="C264" s="3" t="s">
        <v>636</v>
      </c>
      <c r="D264" s="3" t="s">
        <v>267</v>
      </c>
      <c r="E264" s="3">
        <v>2400</v>
      </c>
      <c r="F264" s="3" t="s">
        <v>582</v>
      </c>
      <c r="G264" s="3"/>
      <c r="H264" s="3">
        <f>E264*0.85</f>
        <v>2040</v>
      </c>
    </row>
    <row r="265" spans="1:8" x14ac:dyDescent="0.25">
      <c r="A265" s="7">
        <v>265</v>
      </c>
      <c r="B265" s="3" t="s">
        <v>416</v>
      </c>
      <c r="C265" s="3" t="s">
        <v>636</v>
      </c>
      <c r="D265" s="3" t="s">
        <v>417</v>
      </c>
      <c r="E265" s="3">
        <v>7000</v>
      </c>
      <c r="F265" s="3" t="s">
        <v>582</v>
      </c>
      <c r="G265" s="3"/>
      <c r="H265" s="3">
        <f>E265*0.85</f>
        <v>5950</v>
      </c>
    </row>
    <row r="266" spans="1:8" x14ac:dyDescent="0.25">
      <c r="A266" s="7">
        <v>266</v>
      </c>
      <c r="B266" s="3" t="s">
        <v>562</v>
      </c>
      <c r="C266" s="3" t="s">
        <v>9</v>
      </c>
      <c r="D266" s="3" t="s">
        <v>563</v>
      </c>
      <c r="E266" s="3">
        <v>1100</v>
      </c>
      <c r="F266" s="3" t="s">
        <v>582</v>
      </c>
      <c r="G266" s="3"/>
      <c r="H266" s="3">
        <f>E266*0.85</f>
        <v>935</v>
      </c>
    </row>
    <row r="267" spans="1:8" x14ac:dyDescent="0.25">
      <c r="A267" s="7">
        <v>267</v>
      </c>
      <c r="B267" s="3" t="s">
        <v>488</v>
      </c>
      <c r="C267" s="3" t="s">
        <v>636</v>
      </c>
      <c r="D267" s="3" t="s">
        <v>489</v>
      </c>
      <c r="E267" s="3">
        <v>450</v>
      </c>
      <c r="F267" s="3" t="s">
        <v>580</v>
      </c>
      <c r="G267" s="3"/>
      <c r="H267" s="3">
        <v>225</v>
      </c>
    </row>
    <row r="268" spans="1:8" x14ac:dyDescent="0.25">
      <c r="A268" s="7">
        <v>268</v>
      </c>
      <c r="B268" s="3" t="s">
        <v>228</v>
      </c>
      <c r="C268" s="3" t="s">
        <v>636</v>
      </c>
      <c r="D268" s="3" t="s">
        <v>229</v>
      </c>
      <c r="E268" s="3">
        <v>1900</v>
      </c>
      <c r="F268" s="3" t="s">
        <v>584</v>
      </c>
      <c r="G268" s="3"/>
      <c r="H268" s="3">
        <f>E268*0.75</f>
        <v>1425</v>
      </c>
    </row>
    <row r="269" spans="1:8" x14ac:dyDescent="0.25">
      <c r="A269" s="7">
        <v>269</v>
      </c>
      <c r="B269" s="3" t="s">
        <v>498</v>
      </c>
      <c r="C269" s="3" t="s">
        <v>9</v>
      </c>
      <c r="D269" s="3" t="s">
        <v>499</v>
      </c>
      <c r="E269" s="3">
        <v>9500</v>
      </c>
      <c r="F269" s="3" t="s">
        <v>584</v>
      </c>
      <c r="G269" s="3"/>
      <c r="H269" s="3">
        <f>E269*0.7</f>
        <v>6650</v>
      </c>
    </row>
    <row r="270" spans="1:8" x14ac:dyDescent="0.25">
      <c r="A270" s="7">
        <v>270</v>
      </c>
      <c r="B270" s="3" t="s">
        <v>355</v>
      </c>
      <c r="C270" s="3" t="s">
        <v>636</v>
      </c>
      <c r="D270" s="3" t="s">
        <v>356</v>
      </c>
      <c r="E270" s="3">
        <v>550</v>
      </c>
      <c r="F270" s="3" t="s">
        <v>580</v>
      </c>
      <c r="G270" s="3"/>
      <c r="H270" s="3">
        <v>275</v>
      </c>
    </row>
    <row r="271" spans="1:8" x14ac:dyDescent="0.25">
      <c r="A271" s="7">
        <v>271</v>
      </c>
      <c r="B271" s="3" t="s">
        <v>462</v>
      </c>
      <c r="C271" s="3" t="s">
        <v>636</v>
      </c>
      <c r="D271" s="3" t="s">
        <v>463</v>
      </c>
      <c r="E271" s="3">
        <v>16500</v>
      </c>
      <c r="F271" s="3" t="s">
        <v>581</v>
      </c>
      <c r="G271" s="3"/>
      <c r="H271" s="3">
        <f>E271*0.9</f>
        <v>14850</v>
      </c>
    </row>
    <row r="272" spans="1:8" x14ac:dyDescent="0.25">
      <c r="A272" s="7">
        <v>272</v>
      </c>
      <c r="B272" s="3" t="s">
        <v>206</v>
      </c>
      <c r="C272" s="3" t="s">
        <v>9</v>
      </c>
      <c r="D272" s="3" t="s">
        <v>207</v>
      </c>
      <c r="E272" s="3">
        <v>2400</v>
      </c>
      <c r="F272" s="3" t="s">
        <v>580</v>
      </c>
      <c r="G272" s="3"/>
      <c r="H272" s="3">
        <v>1200</v>
      </c>
    </row>
    <row r="273" spans="1:8" x14ac:dyDescent="0.25">
      <c r="A273" s="7">
        <v>273</v>
      </c>
      <c r="B273" s="3" t="s">
        <v>208</v>
      </c>
      <c r="C273" s="3" t="s">
        <v>636</v>
      </c>
      <c r="D273" s="3" t="s">
        <v>209</v>
      </c>
      <c r="E273" s="3">
        <v>3300</v>
      </c>
      <c r="F273" s="3" t="s">
        <v>580</v>
      </c>
      <c r="G273" s="3"/>
      <c r="H273" s="3">
        <v>1300</v>
      </c>
    </row>
    <row r="274" spans="1:8" x14ac:dyDescent="0.25">
      <c r="A274" s="7">
        <v>274</v>
      </c>
      <c r="B274" s="3" t="s">
        <v>474</v>
      </c>
      <c r="C274" s="3" t="s">
        <v>636</v>
      </c>
      <c r="D274" s="3" t="s">
        <v>475</v>
      </c>
      <c r="E274" s="3">
        <v>6500</v>
      </c>
      <c r="F274" s="3" t="s">
        <v>582</v>
      </c>
      <c r="G274" s="3"/>
      <c r="H274" s="3">
        <f>E274*0.85</f>
        <v>5525</v>
      </c>
    </row>
    <row r="275" spans="1:8" x14ac:dyDescent="0.25">
      <c r="A275" s="7">
        <v>275</v>
      </c>
      <c r="B275" s="3" t="s">
        <v>472</v>
      </c>
      <c r="C275" s="3" t="s">
        <v>636</v>
      </c>
      <c r="D275" s="3" t="s">
        <v>473</v>
      </c>
      <c r="E275" s="3">
        <v>6500</v>
      </c>
      <c r="F275" s="3" t="s">
        <v>582</v>
      </c>
      <c r="G275" s="3"/>
      <c r="H275" s="3">
        <f>E275*0.85</f>
        <v>5525</v>
      </c>
    </row>
    <row r="276" spans="1:8" x14ac:dyDescent="0.25">
      <c r="A276" s="7">
        <v>276</v>
      </c>
      <c r="B276" s="3" t="s">
        <v>476</v>
      </c>
      <c r="C276" s="3" t="s">
        <v>636</v>
      </c>
      <c r="D276" s="3" t="s">
        <v>477</v>
      </c>
      <c r="E276" s="3">
        <v>6500</v>
      </c>
      <c r="F276" s="3" t="s">
        <v>582</v>
      </c>
      <c r="G276" s="3"/>
      <c r="H276" s="3">
        <f>E276*0.85</f>
        <v>5525</v>
      </c>
    </row>
    <row r="277" spans="1:8" x14ac:dyDescent="0.25">
      <c r="A277" s="7">
        <v>277</v>
      </c>
      <c r="B277" s="3" t="s">
        <v>510</v>
      </c>
      <c r="C277" s="3" t="s">
        <v>636</v>
      </c>
      <c r="D277" s="3" t="s">
        <v>511</v>
      </c>
      <c r="E277" s="3">
        <v>1900</v>
      </c>
      <c r="F277" s="3" t="s">
        <v>582</v>
      </c>
      <c r="G277" s="3"/>
      <c r="H277" s="3">
        <f>E277*0.85</f>
        <v>1615</v>
      </c>
    </row>
    <row r="278" spans="1:8" x14ac:dyDescent="0.25">
      <c r="A278" s="7">
        <v>278</v>
      </c>
      <c r="B278" s="3" t="s">
        <v>256</v>
      </c>
      <c r="C278" s="3" t="s">
        <v>636</v>
      </c>
      <c r="D278" s="3" t="s">
        <v>257</v>
      </c>
      <c r="E278" s="3">
        <v>9200</v>
      </c>
      <c r="F278" s="3" t="s">
        <v>582</v>
      </c>
      <c r="G278" s="3"/>
      <c r="H278" s="3">
        <f>E278*0.85</f>
        <v>7820</v>
      </c>
    </row>
    <row r="279" spans="1:8" x14ac:dyDescent="0.25">
      <c r="A279" s="7">
        <v>279</v>
      </c>
      <c r="B279" s="3" t="s">
        <v>402</v>
      </c>
      <c r="C279" s="3" t="s">
        <v>175</v>
      </c>
      <c r="D279" s="3" t="s">
        <v>403</v>
      </c>
      <c r="E279" s="3">
        <v>2200</v>
      </c>
      <c r="F279" s="3" t="s">
        <v>584</v>
      </c>
      <c r="G279" s="3"/>
      <c r="H279" s="3">
        <v>1500</v>
      </c>
    </row>
    <row r="280" spans="1:8" x14ac:dyDescent="0.25">
      <c r="A280" s="7">
        <v>280</v>
      </c>
      <c r="B280" s="3" t="s">
        <v>484</v>
      </c>
      <c r="C280" s="3" t="s">
        <v>636</v>
      </c>
      <c r="D280" s="3" t="s">
        <v>485</v>
      </c>
      <c r="E280" s="3">
        <v>3700</v>
      </c>
      <c r="F280" s="3" t="s">
        <v>582</v>
      </c>
      <c r="G280" s="3"/>
      <c r="H280" s="3">
        <f>E280*0.85</f>
        <v>3145</v>
      </c>
    </row>
    <row r="281" spans="1:8" x14ac:dyDescent="0.25">
      <c r="A281" s="7">
        <v>281</v>
      </c>
      <c r="B281" s="3" t="s">
        <v>512</v>
      </c>
      <c r="C281" s="3" t="s">
        <v>636</v>
      </c>
      <c r="D281" s="3" t="s">
        <v>513</v>
      </c>
      <c r="E281" s="3">
        <v>32400</v>
      </c>
      <c r="F281" s="3" t="s">
        <v>581</v>
      </c>
      <c r="G281" s="3"/>
      <c r="H281" s="3">
        <f>E281*0.9</f>
        <v>29160</v>
      </c>
    </row>
    <row r="282" spans="1:8" x14ac:dyDescent="0.25">
      <c r="A282" s="7">
        <v>282</v>
      </c>
      <c r="B282" s="3" t="s">
        <v>246</v>
      </c>
      <c r="C282" s="3" t="s">
        <v>636</v>
      </c>
      <c r="D282" s="3" t="s">
        <v>247</v>
      </c>
      <c r="E282" s="3">
        <v>2200</v>
      </c>
      <c r="F282" s="3" t="s">
        <v>582</v>
      </c>
      <c r="G282" s="3"/>
      <c r="H282" s="3">
        <f>E282*0.85</f>
        <v>1870</v>
      </c>
    </row>
    <row r="283" spans="1:8" x14ac:dyDescent="0.25">
      <c r="A283" s="7">
        <v>283</v>
      </c>
      <c r="B283" s="3" t="s">
        <v>448</v>
      </c>
      <c r="C283" s="3" t="s">
        <v>636</v>
      </c>
      <c r="D283" s="3" t="s">
        <v>449</v>
      </c>
      <c r="E283" s="3">
        <v>5300</v>
      </c>
      <c r="F283" s="3" t="s">
        <v>582</v>
      </c>
      <c r="G283" s="3"/>
      <c r="H283" s="3">
        <f>E283*0.85</f>
        <v>4505</v>
      </c>
    </row>
    <row r="284" spans="1:8" x14ac:dyDescent="0.25">
      <c r="A284" s="7">
        <v>284</v>
      </c>
      <c r="B284" s="3" t="s">
        <v>353</v>
      </c>
      <c r="C284" s="3" t="s">
        <v>636</v>
      </c>
      <c r="D284" s="3" t="s">
        <v>354</v>
      </c>
      <c r="E284" s="3">
        <v>3000</v>
      </c>
      <c r="F284" s="3" t="s">
        <v>582</v>
      </c>
      <c r="G284" s="3"/>
      <c r="H284" s="3">
        <f>E284*0.85</f>
        <v>2550</v>
      </c>
    </row>
    <row r="285" spans="1:8" x14ac:dyDescent="0.25">
      <c r="A285" s="7">
        <v>285</v>
      </c>
      <c r="B285" s="3" t="s">
        <v>410</v>
      </c>
      <c r="C285" s="3" t="s">
        <v>636</v>
      </c>
      <c r="D285" s="3" t="s">
        <v>411</v>
      </c>
      <c r="E285" s="3">
        <v>600</v>
      </c>
      <c r="F285" s="3" t="s">
        <v>580</v>
      </c>
      <c r="G285" s="3"/>
      <c r="H285" s="3">
        <v>300</v>
      </c>
    </row>
    <row r="286" spans="1:8" x14ac:dyDescent="0.25">
      <c r="A286" s="7">
        <v>286</v>
      </c>
      <c r="B286" s="3" t="s">
        <v>280</v>
      </c>
      <c r="C286" s="3" t="s">
        <v>636</v>
      </c>
      <c r="D286" s="3" t="s">
        <v>281</v>
      </c>
      <c r="E286" s="3">
        <v>4300</v>
      </c>
      <c r="F286" s="3" t="s">
        <v>584</v>
      </c>
      <c r="G286" s="3"/>
      <c r="H286" s="3">
        <f>E286*0.75</f>
        <v>3225</v>
      </c>
    </row>
    <row r="287" spans="1:8" x14ac:dyDescent="0.25">
      <c r="A287" s="7">
        <v>287</v>
      </c>
      <c r="B287" s="3" t="s">
        <v>332</v>
      </c>
      <c r="C287" s="3" t="s">
        <v>9</v>
      </c>
      <c r="D287" s="3" t="s">
        <v>333</v>
      </c>
      <c r="E287" s="3">
        <v>800</v>
      </c>
      <c r="F287" s="3" t="s">
        <v>580</v>
      </c>
      <c r="G287" s="3"/>
      <c r="H287" s="3">
        <v>400</v>
      </c>
    </row>
    <row r="288" spans="1:8" x14ac:dyDescent="0.25">
      <c r="A288" s="7">
        <v>288</v>
      </c>
      <c r="B288" s="3" t="s">
        <v>282</v>
      </c>
      <c r="C288" s="3" t="s">
        <v>636</v>
      </c>
      <c r="D288" s="3" t="s">
        <v>283</v>
      </c>
      <c r="E288" s="3">
        <v>3600</v>
      </c>
      <c r="F288" s="3" t="s">
        <v>584</v>
      </c>
      <c r="G288" s="3"/>
      <c r="H288" s="3">
        <f>E288*0.75</f>
        <v>2700</v>
      </c>
    </row>
    <row r="289" spans="1:8" x14ac:dyDescent="0.25">
      <c r="A289" s="7">
        <v>289</v>
      </c>
      <c r="B289" s="3" t="s">
        <v>25</v>
      </c>
      <c r="C289" s="3" t="s">
        <v>26</v>
      </c>
      <c r="D289" s="3" t="s">
        <v>27</v>
      </c>
      <c r="E289" s="3">
        <v>1600</v>
      </c>
      <c r="F289" s="3" t="s">
        <v>583</v>
      </c>
      <c r="G289" s="3"/>
      <c r="H289" s="3">
        <f>E289*0.6</f>
        <v>960</v>
      </c>
    </row>
    <row r="290" spans="1:8" x14ac:dyDescent="0.25">
      <c r="A290" s="7">
        <v>290</v>
      </c>
      <c r="B290" s="3" t="s">
        <v>312</v>
      </c>
      <c r="C290" s="3" t="s">
        <v>636</v>
      </c>
      <c r="D290" s="3" t="s">
        <v>313</v>
      </c>
      <c r="E290" s="3">
        <v>3200</v>
      </c>
      <c r="F290" s="3" t="s">
        <v>582</v>
      </c>
      <c r="G290" s="3"/>
      <c r="H290" s="3">
        <f>E290*0.85</f>
        <v>2720</v>
      </c>
    </row>
    <row r="291" spans="1:8" x14ac:dyDescent="0.25">
      <c r="A291" s="7">
        <v>291</v>
      </c>
      <c r="B291" s="3" t="s">
        <v>406</v>
      </c>
      <c r="C291" s="3" t="s">
        <v>636</v>
      </c>
      <c r="D291" s="3" t="s">
        <v>407</v>
      </c>
      <c r="E291" s="3">
        <v>1200</v>
      </c>
      <c r="F291" s="3" t="s">
        <v>580</v>
      </c>
      <c r="G291" s="3"/>
      <c r="H291" s="3">
        <v>600</v>
      </c>
    </row>
    <row r="292" spans="1:8" x14ac:dyDescent="0.25">
      <c r="A292" s="7">
        <v>292</v>
      </c>
      <c r="B292" s="3" t="s">
        <v>430</v>
      </c>
      <c r="C292" s="3" t="s">
        <v>636</v>
      </c>
      <c r="D292" s="3" t="s">
        <v>431</v>
      </c>
      <c r="E292" s="3">
        <v>700</v>
      </c>
      <c r="F292" s="3" t="s">
        <v>580</v>
      </c>
      <c r="G292" s="3"/>
      <c r="H292" s="3">
        <v>350</v>
      </c>
    </row>
    <row r="293" spans="1:8" x14ac:dyDescent="0.25">
      <c r="A293" s="7">
        <v>293</v>
      </c>
      <c r="B293" s="3" t="s">
        <v>432</v>
      </c>
      <c r="C293" s="3" t="s">
        <v>636</v>
      </c>
      <c r="D293" s="3" t="s">
        <v>433</v>
      </c>
      <c r="E293" s="3">
        <v>700</v>
      </c>
      <c r="F293" s="3" t="s">
        <v>580</v>
      </c>
      <c r="G293" s="3"/>
      <c r="H293" s="3">
        <v>350</v>
      </c>
    </row>
    <row r="294" spans="1:8" x14ac:dyDescent="0.25">
      <c r="A294" s="7">
        <v>294</v>
      </c>
      <c r="B294" s="3" t="s">
        <v>520</v>
      </c>
      <c r="C294" s="3" t="s">
        <v>9</v>
      </c>
      <c r="D294" s="3" t="s">
        <v>521</v>
      </c>
      <c r="E294" s="3">
        <v>2200</v>
      </c>
      <c r="F294" s="3" t="s">
        <v>582</v>
      </c>
      <c r="G294" s="3"/>
      <c r="H294" s="3">
        <f t="shared" ref="H294:H304" si="5">E294*0.85</f>
        <v>1870</v>
      </c>
    </row>
    <row r="295" spans="1:8" x14ac:dyDescent="0.25">
      <c r="A295" s="7">
        <v>295</v>
      </c>
      <c r="B295" s="3" t="s">
        <v>508</v>
      </c>
      <c r="C295" s="3" t="s">
        <v>26</v>
      </c>
      <c r="D295" s="3" t="s">
        <v>509</v>
      </c>
      <c r="E295" s="3">
        <v>4500</v>
      </c>
      <c r="F295" s="3" t="s">
        <v>582</v>
      </c>
      <c r="G295" s="3"/>
      <c r="H295" s="3">
        <f t="shared" si="5"/>
        <v>3825</v>
      </c>
    </row>
    <row r="296" spans="1:8" x14ac:dyDescent="0.25">
      <c r="A296" s="7">
        <v>296</v>
      </c>
      <c r="B296" s="3" t="s">
        <v>440</v>
      </c>
      <c r="C296" s="3" t="s">
        <v>636</v>
      </c>
      <c r="D296" s="3" t="s">
        <v>441</v>
      </c>
      <c r="E296" s="3">
        <v>4900</v>
      </c>
      <c r="F296" s="3" t="s">
        <v>581</v>
      </c>
      <c r="G296" s="3"/>
      <c r="H296" s="3">
        <f t="shared" si="5"/>
        <v>4165</v>
      </c>
    </row>
    <row r="297" spans="1:8" x14ac:dyDescent="0.25">
      <c r="A297" s="7">
        <v>297</v>
      </c>
      <c r="B297" s="3" t="s">
        <v>390</v>
      </c>
      <c r="C297" s="3" t="s">
        <v>636</v>
      </c>
      <c r="D297" s="3" t="s">
        <v>391</v>
      </c>
      <c r="E297" s="3">
        <v>1600</v>
      </c>
      <c r="F297" s="3" t="s">
        <v>582</v>
      </c>
      <c r="G297" s="3"/>
      <c r="H297" s="3">
        <f t="shared" si="5"/>
        <v>1360</v>
      </c>
    </row>
    <row r="298" spans="1:8" x14ac:dyDescent="0.25">
      <c r="A298" s="7">
        <v>298</v>
      </c>
      <c r="B298" s="3" t="s">
        <v>392</v>
      </c>
      <c r="C298" s="3" t="s">
        <v>636</v>
      </c>
      <c r="D298" s="3" t="s">
        <v>393</v>
      </c>
      <c r="E298" s="3">
        <v>1600</v>
      </c>
      <c r="F298" s="3" t="s">
        <v>582</v>
      </c>
      <c r="G298" s="3"/>
      <c r="H298" s="3">
        <f t="shared" si="5"/>
        <v>1360</v>
      </c>
    </row>
    <row r="299" spans="1:8" x14ac:dyDescent="0.25">
      <c r="A299" s="7">
        <v>299</v>
      </c>
      <c r="B299" s="3" t="s">
        <v>560</v>
      </c>
      <c r="C299" s="3" t="s">
        <v>9</v>
      </c>
      <c r="D299" s="3" t="s">
        <v>561</v>
      </c>
      <c r="E299" s="3">
        <v>1200</v>
      </c>
      <c r="F299" s="3" t="s">
        <v>582</v>
      </c>
      <c r="G299" s="3"/>
      <c r="H299" s="3">
        <f t="shared" si="5"/>
        <v>1020</v>
      </c>
    </row>
    <row r="300" spans="1:8" x14ac:dyDescent="0.25">
      <c r="A300" s="7">
        <v>300</v>
      </c>
      <c r="B300" s="3" t="s">
        <v>528</v>
      </c>
      <c r="C300" s="3" t="s">
        <v>9</v>
      </c>
      <c r="D300" s="3" t="s">
        <v>529</v>
      </c>
      <c r="E300" s="3">
        <v>1200</v>
      </c>
      <c r="F300" s="3" t="s">
        <v>582</v>
      </c>
      <c r="G300" s="3"/>
      <c r="H300" s="3">
        <f t="shared" si="5"/>
        <v>1020</v>
      </c>
    </row>
    <row r="301" spans="1:8" x14ac:dyDescent="0.25">
      <c r="A301" s="7">
        <v>301</v>
      </c>
      <c r="B301" s="3" t="s">
        <v>316</v>
      </c>
      <c r="C301" s="3" t="s">
        <v>636</v>
      </c>
      <c r="D301" s="3" t="s">
        <v>317</v>
      </c>
      <c r="E301" s="3">
        <v>4000</v>
      </c>
      <c r="F301" s="3" t="s">
        <v>582</v>
      </c>
      <c r="G301" s="3"/>
      <c r="H301" s="3">
        <f t="shared" si="5"/>
        <v>3400</v>
      </c>
    </row>
    <row r="302" spans="1:8" x14ac:dyDescent="0.25">
      <c r="A302" s="7">
        <v>302</v>
      </c>
      <c r="B302" s="3" t="s">
        <v>200</v>
      </c>
      <c r="C302" s="3" t="s">
        <v>636</v>
      </c>
      <c r="D302" s="3" t="s">
        <v>201</v>
      </c>
      <c r="E302" s="3">
        <v>2700</v>
      </c>
      <c r="F302" s="3" t="s">
        <v>582</v>
      </c>
      <c r="G302" s="3"/>
      <c r="H302" s="3">
        <f t="shared" si="5"/>
        <v>2295</v>
      </c>
    </row>
    <row r="303" spans="1:8" x14ac:dyDescent="0.25">
      <c r="A303" s="7">
        <v>303</v>
      </c>
      <c r="B303" s="3" t="s">
        <v>274</v>
      </c>
      <c r="C303" s="3" t="s">
        <v>636</v>
      </c>
      <c r="D303" s="3" t="s">
        <v>275</v>
      </c>
      <c r="E303" s="3">
        <v>2000</v>
      </c>
      <c r="F303" s="3" t="s">
        <v>582</v>
      </c>
      <c r="G303" s="3"/>
      <c r="H303" s="3">
        <f t="shared" si="5"/>
        <v>1700</v>
      </c>
    </row>
    <row r="304" spans="1:8" x14ac:dyDescent="0.25">
      <c r="A304" s="7">
        <v>304</v>
      </c>
      <c r="B304" s="3" t="s">
        <v>609</v>
      </c>
      <c r="C304" s="3" t="s">
        <v>636</v>
      </c>
      <c r="D304" s="3" t="s">
        <v>165</v>
      </c>
      <c r="E304" s="3">
        <v>1900</v>
      </c>
      <c r="F304" s="3" t="s">
        <v>582</v>
      </c>
      <c r="G304" s="3"/>
      <c r="H304" s="3">
        <f t="shared" si="5"/>
        <v>1615</v>
      </c>
    </row>
    <row r="305" spans="1:8" x14ac:dyDescent="0.25">
      <c r="A305" s="7">
        <v>305</v>
      </c>
      <c r="B305" s="3" t="s">
        <v>264</v>
      </c>
      <c r="C305" s="3" t="s">
        <v>636</v>
      </c>
      <c r="D305" s="3" t="s">
        <v>265</v>
      </c>
      <c r="E305" s="3">
        <v>1200</v>
      </c>
      <c r="F305" s="3" t="s">
        <v>583</v>
      </c>
      <c r="G305" s="3"/>
      <c r="H305" s="3">
        <f>E305*0.6</f>
        <v>720</v>
      </c>
    </row>
    <row r="306" spans="1:8" x14ac:dyDescent="0.25">
      <c r="A306" s="7">
        <v>306</v>
      </c>
      <c r="B306" s="3" t="s">
        <v>55</v>
      </c>
      <c r="C306" s="3" t="s">
        <v>636</v>
      </c>
      <c r="D306" s="3" t="s">
        <v>56</v>
      </c>
      <c r="E306" s="3">
        <v>2800</v>
      </c>
      <c r="F306" s="3" t="s">
        <v>580</v>
      </c>
      <c r="G306" s="3"/>
      <c r="H306" s="3">
        <v>1100</v>
      </c>
    </row>
    <row r="307" spans="1:8" x14ac:dyDescent="0.25">
      <c r="A307" s="7">
        <v>307</v>
      </c>
      <c r="B307" s="3" t="s">
        <v>466</v>
      </c>
      <c r="C307" s="3" t="s">
        <v>636</v>
      </c>
      <c r="D307" s="3" t="s">
        <v>467</v>
      </c>
      <c r="E307" s="3">
        <v>1400</v>
      </c>
      <c r="F307" s="3" t="s">
        <v>580</v>
      </c>
      <c r="G307" s="3"/>
      <c r="H307" s="3">
        <v>600</v>
      </c>
    </row>
    <row r="308" spans="1:8" x14ac:dyDescent="0.25">
      <c r="A308" s="7">
        <v>308</v>
      </c>
      <c r="B308" s="3" t="s">
        <v>621</v>
      </c>
      <c r="C308" s="3" t="s">
        <v>636</v>
      </c>
      <c r="D308" s="3" t="s">
        <v>342</v>
      </c>
      <c r="E308" s="3">
        <v>1400</v>
      </c>
      <c r="F308" s="3" t="s">
        <v>580</v>
      </c>
      <c r="G308" s="3"/>
      <c r="H308" s="3">
        <v>600</v>
      </c>
    </row>
    <row r="309" spans="1:8" x14ac:dyDescent="0.25">
      <c r="A309" s="7">
        <v>309</v>
      </c>
      <c r="B309" s="3" t="s">
        <v>578</v>
      </c>
      <c r="C309" s="3" t="s">
        <v>9</v>
      </c>
      <c r="D309" s="3" t="s">
        <v>579</v>
      </c>
      <c r="E309" s="3">
        <v>1100</v>
      </c>
      <c r="F309" s="3" t="s">
        <v>580</v>
      </c>
      <c r="G309" s="3"/>
      <c r="H309" s="3">
        <v>300</v>
      </c>
    </row>
    <row r="310" spans="1:8" x14ac:dyDescent="0.25">
      <c r="A310" s="7">
        <v>310</v>
      </c>
      <c r="B310" s="3" t="s">
        <v>482</v>
      </c>
      <c r="C310" s="3" t="s">
        <v>636</v>
      </c>
      <c r="D310" s="3" t="s">
        <v>483</v>
      </c>
      <c r="E310" s="3">
        <v>625</v>
      </c>
      <c r="F310" s="3" t="s">
        <v>584</v>
      </c>
      <c r="G310" s="3"/>
      <c r="H310" s="3">
        <v>375</v>
      </c>
    </row>
    <row r="311" spans="1:8" x14ac:dyDescent="0.25">
      <c r="A311" s="7">
        <v>311</v>
      </c>
      <c r="B311" s="3" t="s">
        <v>135</v>
      </c>
      <c r="C311" s="3" t="s">
        <v>42</v>
      </c>
      <c r="D311" s="3" t="s">
        <v>136</v>
      </c>
      <c r="E311" s="3">
        <v>625</v>
      </c>
      <c r="F311" s="3" t="s">
        <v>584</v>
      </c>
      <c r="G311" s="3"/>
      <c r="H311" s="3">
        <v>350</v>
      </c>
    </row>
    <row r="312" spans="1:8" x14ac:dyDescent="0.25">
      <c r="A312" s="7">
        <v>312</v>
      </c>
      <c r="B312" s="3" t="s">
        <v>141</v>
      </c>
      <c r="C312" s="3" t="s">
        <v>42</v>
      </c>
      <c r="D312" s="3" t="s">
        <v>142</v>
      </c>
      <c r="E312" s="3">
        <v>1600</v>
      </c>
      <c r="F312" s="3" t="s">
        <v>583</v>
      </c>
      <c r="G312" s="3"/>
      <c r="H312" s="3">
        <v>1000</v>
      </c>
    </row>
    <row r="313" spans="1:8" x14ac:dyDescent="0.25">
      <c r="A313" s="7">
        <v>313</v>
      </c>
      <c r="B313" s="3" t="s">
        <v>434</v>
      </c>
      <c r="C313" s="3" t="s">
        <v>636</v>
      </c>
      <c r="D313" s="3" t="s">
        <v>435</v>
      </c>
      <c r="E313" s="3">
        <v>2100</v>
      </c>
      <c r="F313" s="3" t="s">
        <v>582</v>
      </c>
      <c r="G313" s="3"/>
      <c r="H313" s="3">
        <f>E313*0.85</f>
        <v>1785</v>
      </c>
    </row>
    <row r="314" spans="1:8" x14ac:dyDescent="0.25">
      <c r="A314" s="7">
        <v>314</v>
      </c>
      <c r="B314" s="3" t="s">
        <v>155</v>
      </c>
      <c r="C314" s="3" t="s">
        <v>42</v>
      </c>
      <c r="D314" s="3" t="s">
        <v>156</v>
      </c>
      <c r="E314" s="3">
        <v>600</v>
      </c>
      <c r="F314" s="3" t="s">
        <v>583</v>
      </c>
      <c r="G314" s="3"/>
      <c r="H314" s="3">
        <v>150</v>
      </c>
    </row>
    <row r="315" spans="1:8" x14ac:dyDescent="0.25">
      <c r="E315" s="8"/>
      <c r="F315" s="8"/>
      <c r="G315" s="8"/>
      <c r="H315" s="8"/>
    </row>
    <row r="316" spans="1:8" x14ac:dyDescent="0.25">
      <c r="E316" s="8"/>
      <c r="F316" s="8"/>
      <c r="G316" s="8"/>
      <c r="H316" s="8"/>
    </row>
    <row r="317" spans="1:8" x14ac:dyDescent="0.25">
      <c r="E317" s="8"/>
      <c r="F317" s="8"/>
      <c r="G317" s="8"/>
      <c r="H317" s="8"/>
    </row>
    <row r="318" spans="1:8" x14ac:dyDescent="0.25">
      <c r="E318" s="8"/>
      <c r="F318" s="8"/>
      <c r="G318" s="8"/>
      <c r="H318" s="8"/>
    </row>
    <row r="319" spans="1:8" x14ac:dyDescent="0.25">
      <c r="E319" s="8"/>
      <c r="F319" s="8"/>
      <c r="G319" s="8"/>
      <c r="H319" s="8"/>
    </row>
    <row r="320" spans="1:8" x14ac:dyDescent="0.25">
      <c r="E320" s="8"/>
      <c r="F320" s="8"/>
      <c r="G320" s="8"/>
      <c r="H320" s="8"/>
    </row>
    <row r="321" spans="5:8" x14ac:dyDescent="0.25">
      <c r="E321" s="8"/>
      <c r="F321" s="8"/>
      <c r="G321" s="8"/>
      <c r="H321" s="8"/>
    </row>
    <row r="322" spans="5:8" x14ac:dyDescent="0.25">
      <c r="E322" s="8"/>
      <c r="F322" s="8"/>
      <c r="G322" s="8"/>
      <c r="H322" s="8"/>
    </row>
    <row r="323" spans="5:8" x14ac:dyDescent="0.25">
      <c r="E323" s="8"/>
      <c r="F323" s="8"/>
      <c r="G323" s="8"/>
      <c r="H323" s="8"/>
    </row>
    <row r="324" spans="5:8" x14ac:dyDescent="0.25">
      <c r="E324" s="8"/>
      <c r="F324" s="8"/>
      <c r="G324" s="8"/>
      <c r="H324" s="8"/>
    </row>
    <row r="325" spans="5:8" x14ac:dyDescent="0.25">
      <c r="E325" s="8"/>
      <c r="F325" s="8"/>
      <c r="G325" s="8"/>
      <c r="H325" s="8"/>
    </row>
    <row r="326" spans="5:8" x14ac:dyDescent="0.25">
      <c r="E326" s="8"/>
      <c r="F326" s="8"/>
      <c r="G326" s="8"/>
      <c r="H326" s="8"/>
    </row>
    <row r="327" spans="5:8" x14ac:dyDescent="0.25">
      <c r="E327" s="8"/>
      <c r="F327" s="8"/>
      <c r="G327" s="8"/>
      <c r="H327" s="8"/>
    </row>
    <row r="328" spans="5:8" x14ac:dyDescent="0.25">
      <c r="E328" s="8"/>
      <c r="F328" s="8"/>
      <c r="G328" s="8"/>
      <c r="H328" s="8"/>
    </row>
    <row r="329" spans="5:8" x14ac:dyDescent="0.25">
      <c r="E329" s="8"/>
      <c r="F329" s="8"/>
      <c r="G329" s="8"/>
      <c r="H329" s="8"/>
    </row>
    <row r="330" spans="5:8" x14ac:dyDescent="0.25">
      <c r="E330" s="8"/>
      <c r="F330" s="8"/>
      <c r="G330" s="8"/>
      <c r="H330" s="8"/>
    </row>
    <row r="331" spans="5:8" x14ac:dyDescent="0.25">
      <c r="E331" s="8"/>
      <c r="F331" s="8"/>
      <c r="G331" s="8"/>
      <c r="H331" s="8"/>
    </row>
  </sheetData>
  <pageMargins left="0.75" right="0.75" top="1" bottom="1" header="0.5" footer="0.5"/>
  <headerFooter>
    <oddHeader>&amp;L&amp;F : &amp;A&amp;R&amp;D &amp;T</oddHeader>
    <oddFooter>&amp;C&amp;Pof&amp;N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Costs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Gupta</dc:creator>
  <cp:lastModifiedBy>Neel Pathak</cp:lastModifiedBy>
  <dcterms:created xsi:type="dcterms:W3CDTF">2023-12-30T11:29:01Z</dcterms:created>
  <dcterms:modified xsi:type="dcterms:W3CDTF">2024-01-17T09:51:32Z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2023-12-30T16:27:26Z</dcterms:created>
  <cp:revision>0</cp:revision>
</cp:coreProperties>
</file>